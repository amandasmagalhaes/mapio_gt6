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iza\Downloads\"/>
    </mc:Choice>
  </mc:AlternateContent>
  <xr:revisionPtr revIDLastSave="0" documentId="8_{958BD4CB-6686-4404-8D61-46D5573D2710}" xr6:coauthVersionLast="47" xr6:coauthVersionMax="47" xr10:uidLastSave="{00000000-0000-0000-0000-000000000000}"/>
  <bookViews>
    <workbookView xWindow="-120" yWindow="-120" windowWidth="20730" windowHeight="11040" activeTab="3" xr2:uid="{EF2BBFBF-CB81-4718-9829-3C080ED7E097}"/>
  </bookViews>
  <sheets>
    <sheet name="Normal Climatologica" sheetId="1" r:id="rId1"/>
    <sheet name="Temp Min Anual" sheetId="2" r:id="rId2"/>
    <sheet name="TempMaxAnual" sheetId="3" r:id="rId3"/>
    <sheet name="Planilh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4" i="4" l="1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</calcChain>
</file>

<file path=xl/sharedStrings.xml><?xml version="1.0" encoding="utf-8"?>
<sst xmlns="http://schemas.openxmlformats.org/spreadsheetml/2006/main" count="198" uniqueCount="38">
  <si>
    <t xml:space="preserve">Normal Climatológico </t>
  </si>
  <si>
    <t>1991 - 2020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</si>
  <si>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</si>
  <si>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</si>
  <si>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</si>
  <si>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</si>
  <si>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</si>
  <si>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</si>
  <si>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</si>
  <si>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</si>
  <si>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</si>
  <si>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</si>
  <si>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</si>
  <si>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</si>
  <si>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</t>
  </si>
  <si>
    <t>Temp Min</t>
  </si>
  <si>
    <t>Tem Máx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</si>
  <si>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</si>
  <si>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</si>
  <si>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</si>
  <si>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</si>
  <si>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</si>
  <si>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</si>
  <si>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</si>
  <si>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</si>
  <si>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</si>
  <si>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 xml:space="preserve">Out </t>
  </si>
  <si>
    <t xml:space="preserve">Nov </t>
  </si>
  <si>
    <t>Dez</t>
  </si>
  <si>
    <t>Média Anual</t>
  </si>
  <si>
    <t>Temperatura Máxima</t>
  </si>
  <si>
    <t>Mês</t>
  </si>
  <si>
    <t>2017</t>
  </si>
  <si>
    <t>Temp Max</t>
  </si>
  <si>
    <t>Normal Climatologica Tmin</t>
  </si>
  <si>
    <t>Normal Climatologica Tmax</t>
  </si>
  <si>
    <t>Anomalia de Tmin</t>
  </si>
  <si>
    <t>Anomalia de 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</si>
</sst>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B6D84-6DCD-4874-8E54-FE63A2DF3F37}">
  <dimension ref="B2:Q5"/>
  <sheetViews>
    <sheetView workbookViewId="0">
      <selection activeCell="E5" sqref="E5:P5"/>
    </sheetView>
  </sheetViews>
  <sheetFormatPr defaultRowHeight="15" x14ac:dyDescent="0.25"/>
  <sheetData>
    <row r="2" spans="2:17" x14ac:dyDescent="0.25">
      <c r="B2" t="s">
        <v>0</v>
      </c>
    </row>
    <row r="3" spans="2:17" x14ac:dyDescent="0.25">
      <c r="B3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</row>
    <row r="4" spans="2:17" x14ac:dyDescent="0.25">
      <c r="B4" t="s">
        <v>15</v>
      </c>
      <c r="E4">
        <v>20</v>
      </c>
      <c r="F4">
        <v>20.2</v>
      </c>
      <c r="G4">
        <v>19.8</v>
      </c>
      <c r="H4">
        <v>18.8</v>
      </c>
      <c r="I4">
        <v>16.600000000000001</v>
      </c>
      <c r="J4">
        <v>15.4</v>
      </c>
      <c r="K4">
        <v>15.2</v>
      </c>
      <c r="L4">
        <v>15.8</v>
      </c>
      <c r="M4">
        <v>17.399999999999999</v>
      </c>
      <c r="N4">
        <v>18.8</v>
      </c>
      <c r="O4">
        <v>18.899999999999999</v>
      </c>
      <c r="P4">
        <v>19.5</v>
      </c>
      <c r="Q4">
        <v>18</v>
      </c>
    </row>
    <row r="5" spans="2:17" x14ac:dyDescent="0.25">
      <c r="B5" t="s">
        <v>16</v>
      </c>
      <c r="E5">
        <v>28.7</v>
      </c>
      <c r="F5">
        <v>29.1</v>
      </c>
      <c r="G5">
        <v>28.4</v>
      </c>
      <c r="H5">
        <v>27.6</v>
      </c>
      <c r="I5">
        <v>25.7</v>
      </c>
      <c r="J5">
        <v>24.9</v>
      </c>
      <c r="K5">
        <v>24.9</v>
      </c>
      <c r="L5">
        <v>26.3</v>
      </c>
      <c r="M5">
        <v>27.9</v>
      </c>
      <c r="N5">
        <v>28.7</v>
      </c>
      <c r="O5">
        <v>27.7</v>
      </c>
      <c r="P5">
        <v>28.2</v>
      </c>
      <c r="Q5">
        <v>27.3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798A5-E70E-4317-9C0B-9D1A8EF069B7}">
  <dimension ref="B2:O13"/>
  <sheetViews>
    <sheetView workbookViewId="0">
      <selection activeCell="C13" sqref="C13:N13"/>
    </sheetView>
  </sheetViews>
  <sheetFormatPr defaultRowHeight="15" x14ac:dyDescent="0.25"/>
  <sheetData>
    <row r="2" spans="2:15" x14ac:dyDescent="0.25">
      <c r="B2" t="s">
        <v>14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2:15" x14ac:dyDescent="0.25">
      <c r="B3">
        <v>2014</v>
      </c>
      <c r="C3">
        <v>19.770967741935483</v>
      </c>
      <c r="D3">
        <v>19.867857142857144</v>
      </c>
      <c r="E3">
        <v>19.212903225806453</v>
      </c>
      <c r="F3">
        <v>17.886666666666667</v>
      </c>
      <c r="G3">
        <v>15.412903225806451</v>
      </c>
      <c r="H3">
        <v>15.263333333333332</v>
      </c>
      <c r="I3">
        <v>14.667741935483873</v>
      </c>
      <c r="J3">
        <v>14.725806451612906</v>
      </c>
      <c r="K3">
        <v>17.279999999999998</v>
      </c>
      <c r="L3">
        <v>18.167741935483868</v>
      </c>
      <c r="M3">
        <v>19.136666666666663</v>
      </c>
      <c r="N3">
        <v>19.693548387096779</v>
      </c>
      <c r="O3">
        <v>17.590511392729134</v>
      </c>
    </row>
    <row r="4" spans="2:15" x14ac:dyDescent="0.25">
      <c r="B4">
        <v>2015</v>
      </c>
      <c r="C4">
        <v>20.016129032258057</v>
      </c>
      <c r="D4">
        <v>19.49642857142857</v>
      </c>
      <c r="E4">
        <v>19.267741935483869</v>
      </c>
      <c r="F4">
        <v>18.383333333333333</v>
      </c>
      <c r="G4">
        <v>16.254838709677415</v>
      </c>
      <c r="H4">
        <v>14.660000000000004</v>
      </c>
      <c r="I4">
        <v>15.390322580645163</v>
      </c>
      <c r="J4">
        <v>15.645161290322585</v>
      </c>
      <c r="K4">
        <v>19.130000000000003</v>
      </c>
      <c r="L4">
        <v>20.590322580645164</v>
      </c>
      <c r="M4">
        <v>20.576666666666664</v>
      </c>
      <c r="N4">
        <v>19.906451612903229</v>
      </c>
      <c r="O4">
        <v>18.276449692780336</v>
      </c>
    </row>
    <row r="5" spans="2:15" x14ac:dyDescent="0.25">
      <c r="B5">
        <v>2016</v>
      </c>
      <c r="C5">
        <v>19.890322580645162</v>
      </c>
      <c r="D5">
        <v>20.62142857142857</v>
      </c>
      <c r="E5">
        <v>19.693548387096776</v>
      </c>
      <c r="F5">
        <v>18.970000000000002</v>
      </c>
      <c r="G5">
        <v>16.583870967741934</v>
      </c>
      <c r="H5">
        <v>14.633333333333331</v>
      </c>
      <c r="I5">
        <v>14.71290322580645</v>
      </c>
      <c r="J5">
        <v>15.754838709677417</v>
      </c>
      <c r="K5">
        <v>18.236666666666668</v>
      </c>
      <c r="L5">
        <v>19.451612903225808</v>
      </c>
      <c r="M5">
        <v>18.686666666666667</v>
      </c>
      <c r="N5">
        <v>19.096774193548391</v>
      </c>
      <c r="O5">
        <v>18.02766385048643</v>
      </c>
    </row>
    <row r="6" spans="2:15" x14ac:dyDescent="0.25">
      <c r="B6">
        <v>2017</v>
      </c>
      <c r="C6">
        <v>20.235483870967734</v>
      </c>
      <c r="D6">
        <v>19.467857142857149</v>
      </c>
      <c r="E6">
        <v>18.641935483870967</v>
      </c>
      <c r="F6">
        <v>18.40666666666667</v>
      </c>
      <c r="G6">
        <v>16.170967741935485</v>
      </c>
      <c r="H6">
        <v>14.479999999999999</v>
      </c>
      <c r="I6">
        <v>12.774193548387094</v>
      </c>
      <c r="J6">
        <v>14.890000000000002</v>
      </c>
      <c r="K6">
        <v>15.87</v>
      </c>
      <c r="L6">
        <v>18.916129032258059</v>
      </c>
      <c r="M6">
        <v>18.74666666666667</v>
      </c>
      <c r="N6">
        <v>19.806451612903228</v>
      </c>
      <c r="O6">
        <v>17.367195980542757</v>
      </c>
    </row>
    <row r="7" spans="2:15" x14ac:dyDescent="0.25">
      <c r="B7">
        <v>2018</v>
      </c>
      <c r="C7">
        <v>20.019354838709678</v>
      </c>
      <c r="D7">
        <v>19.303571428571427</v>
      </c>
      <c r="E7">
        <v>19.358064516129037</v>
      </c>
      <c r="F7">
        <v>17.733333333333331</v>
      </c>
      <c r="G7">
        <v>14.964516129032257</v>
      </c>
      <c r="H7">
        <v>15.539999999999996</v>
      </c>
      <c r="I7">
        <v>14.087096774193549</v>
      </c>
      <c r="J7">
        <v>15.551612903225807</v>
      </c>
      <c r="K7">
        <v>17.556666666666668</v>
      </c>
      <c r="L7">
        <v>19.432258064516127</v>
      </c>
      <c r="M7">
        <v>18.59666666666666</v>
      </c>
      <c r="N7">
        <v>19.016129032258068</v>
      </c>
      <c r="O7">
        <v>17.59660586277522</v>
      </c>
    </row>
    <row r="8" spans="2:15" x14ac:dyDescent="0.25">
      <c r="B8">
        <v>2019</v>
      </c>
      <c r="C8">
        <v>20.377419354838711</v>
      </c>
      <c r="D8">
        <v>20.160714285714285</v>
      </c>
      <c r="E8">
        <v>19.21935483870968</v>
      </c>
      <c r="F8">
        <v>18.88</v>
      </c>
      <c r="G8">
        <v>17.096774193548388</v>
      </c>
      <c r="H8">
        <v>14.78</v>
      </c>
      <c r="I8">
        <v>12.970967741935484</v>
      </c>
      <c r="J8">
        <v>15.561290322580643</v>
      </c>
      <c r="K8">
        <v>18.5</v>
      </c>
      <c r="L8">
        <v>19.354838709677416</v>
      </c>
      <c r="M8">
        <v>19.690000000000001</v>
      </c>
      <c r="N8">
        <v>19.435483870967737</v>
      </c>
      <c r="O8">
        <v>18.002236943164359</v>
      </c>
    </row>
    <row r="9" spans="2:15" x14ac:dyDescent="0.25">
      <c r="B9">
        <v>2020</v>
      </c>
      <c r="C9">
        <v>19.903225806451616</v>
      </c>
      <c r="D9">
        <v>19.651724137931033</v>
      </c>
      <c r="E9">
        <v>18.683870967741932</v>
      </c>
      <c r="F9">
        <v>17.693333333333335</v>
      </c>
      <c r="G9">
        <v>14.04193548387097</v>
      </c>
      <c r="H9">
        <v>13.903333333333332</v>
      </c>
      <c r="I9">
        <v>14.774193548387094</v>
      </c>
      <c r="J9">
        <v>14.145161290322578</v>
      </c>
      <c r="K9">
        <v>18.662499999999998</v>
      </c>
      <c r="L9">
        <v>19.229032258064517</v>
      </c>
      <c r="M9">
        <v>18.549999999999997</v>
      </c>
      <c r="N9">
        <v>19.42580645161291</v>
      </c>
      <c r="O9">
        <v>17.388676384254111</v>
      </c>
    </row>
    <row r="10" spans="2:15" x14ac:dyDescent="0.25">
      <c r="B10">
        <v>2021</v>
      </c>
      <c r="C10">
        <v>19.1516129032258</v>
      </c>
      <c r="D10">
        <v>19.139285714285716</v>
      </c>
      <c r="E10">
        <v>18.735483870967744</v>
      </c>
      <c r="F10">
        <v>16.31666666666667</v>
      </c>
      <c r="G10">
        <v>15.30967741935484</v>
      </c>
      <c r="H10">
        <v>13.85</v>
      </c>
      <c r="I10">
        <v>11.851612903225805</v>
      </c>
      <c r="J10">
        <v>15.167741935483873</v>
      </c>
      <c r="K10">
        <v>18.683333333333334</v>
      </c>
      <c r="L10">
        <v>18.690322580645162</v>
      </c>
      <c r="M10">
        <v>18.146666666666665</v>
      </c>
      <c r="N10">
        <v>18.396774193548389</v>
      </c>
      <c r="O10">
        <v>16.953264848950333</v>
      </c>
    </row>
    <row r="11" spans="2:15" x14ac:dyDescent="0.25">
      <c r="B11">
        <v>2022</v>
      </c>
      <c r="C11">
        <v>19.325806451612905</v>
      </c>
      <c r="D11">
        <v>18.921428571428571</v>
      </c>
      <c r="E11">
        <v>19.767741935483873</v>
      </c>
      <c r="F11">
        <v>17.973333333333336</v>
      </c>
      <c r="G11">
        <v>14.225806451612904</v>
      </c>
      <c r="H11">
        <v>13.233333333333333</v>
      </c>
      <c r="I11">
        <v>13.522580645161291</v>
      </c>
      <c r="J11">
        <v>14.529032258064516</v>
      </c>
      <c r="K11">
        <v>16.47</v>
      </c>
      <c r="L11">
        <v>18.596774193548388</v>
      </c>
      <c r="M11">
        <v>16.749999999999996</v>
      </c>
      <c r="N11">
        <v>18.596774193548384</v>
      </c>
      <c r="O11">
        <v>16.826050947260622</v>
      </c>
    </row>
    <row r="12" spans="2:15" x14ac:dyDescent="0.25">
      <c r="B12">
        <v>2023</v>
      </c>
      <c r="C12">
        <v>18.832258064516125</v>
      </c>
      <c r="D12">
        <v>19.50714285714286</v>
      </c>
      <c r="E12">
        <v>19.506451612903227</v>
      </c>
      <c r="F12">
        <v>18.170000000000002</v>
      </c>
      <c r="G12">
        <v>14.929032258064519</v>
      </c>
      <c r="H12">
        <v>13.099999999999998</v>
      </c>
      <c r="I12">
        <v>14.367741935483872</v>
      </c>
      <c r="J12">
        <v>15.79032258064516</v>
      </c>
      <c r="K12">
        <v>18.926666666666666</v>
      </c>
      <c r="L12">
        <v>20.42258064516129</v>
      </c>
      <c r="M12">
        <v>20.196666666666669</v>
      </c>
      <c r="N12">
        <v>20.090322580645161</v>
      </c>
      <c r="O12">
        <v>17.819932155657963</v>
      </c>
    </row>
    <row r="13" spans="2:15" x14ac:dyDescent="0.25">
      <c r="B13">
        <v>2024</v>
      </c>
      <c r="C13">
        <v>20.022580645161291</v>
      </c>
      <c r="D13">
        <v>19.686206896551724</v>
      </c>
      <c r="E13">
        <v>20.296774193548384</v>
      </c>
      <c r="F13">
        <v>18.839999999999996</v>
      </c>
      <c r="G13">
        <v>17.090322580645161</v>
      </c>
      <c r="H13">
        <v>14.466666666666667</v>
      </c>
      <c r="I13">
        <v>14.261290322580642</v>
      </c>
      <c r="J13">
        <v>15.629032258064518</v>
      </c>
      <c r="K13">
        <v>18.950000000000003</v>
      </c>
      <c r="L13">
        <v>19.548387096774192</v>
      </c>
      <c r="M13">
        <v>18.923333333333336</v>
      </c>
      <c r="N13">
        <v>19.548387096774192</v>
      </c>
      <c r="O13">
        <v>18.105248424175013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852B-1C92-4589-9B8E-FDA40AA75F0F}">
  <dimension ref="B1:O13"/>
  <sheetViews>
    <sheetView workbookViewId="0">
      <selection activeCell="C13" sqref="C13:N13"/>
    </sheetView>
  </sheetViews>
  <sheetFormatPr defaultRowHeight="15" x14ac:dyDescent="0.25"/>
  <sheetData>
    <row r="1" spans="2:15" x14ac:dyDescent="0.25">
      <c r="B1" t="s">
        <v>30</v>
      </c>
    </row>
    <row r="2" spans="2:15" x14ac:dyDescent="0.25">
      <c r="B2" t="s">
        <v>14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2:15" x14ac:dyDescent="0.25">
      <c r="B3">
        <v>2014</v>
      </c>
      <c r="C3">
        <v>30.79677419354838</v>
      </c>
      <c r="D3">
        <v>30.289285714285707</v>
      </c>
      <c r="E3">
        <v>28.570967741935487</v>
      </c>
      <c r="F3">
        <v>27.8</v>
      </c>
      <c r="G3">
        <v>26.396774193548385</v>
      </c>
      <c r="H3">
        <v>25.86</v>
      </c>
      <c r="I3">
        <v>24.425806451612903</v>
      </c>
      <c r="J3">
        <v>27.322580645161285</v>
      </c>
      <c r="K3">
        <v>29.489999999999988</v>
      </c>
      <c r="L3">
        <v>29.71935483870968</v>
      </c>
      <c r="M3">
        <v>28.566666666666666</v>
      </c>
      <c r="N3">
        <v>28.819354838709678</v>
      </c>
      <c r="O3">
        <v>28.171463773681513</v>
      </c>
    </row>
    <row r="4" spans="2:15" x14ac:dyDescent="0.25">
      <c r="B4">
        <v>2015</v>
      </c>
      <c r="C4">
        <v>31.651612903225807</v>
      </c>
      <c r="D4">
        <v>28.953571428571429</v>
      </c>
      <c r="E4">
        <v>28.925806451612907</v>
      </c>
      <c r="F4">
        <v>27.573333333333341</v>
      </c>
      <c r="G4">
        <v>24.974193548387095</v>
      </c>
      <c r="H4">
        <v>24.916666666666668</v>
      </c>
      <c r="I4">
        <v>25.967741935483872</v>
      </c>
      <c r="J4">
        <v>27.161290322580641</v>
      </c>
      <c r="K4">
        <v>30.736666666666672</v>
      </c>
      <c r="L4">
        <v>32.735483870967741</v>
      </c>
      <c r="M4">
        <v>30.836666666666666</v>
      </c>
      <c r="N4">
        <v>30.003225806451614</v>
      </c>
      <c r="O4">
        <v>28.703021633384537</v>
      </c>
    </row>
    <row r="5" spans="2:15" x14ac:dyDescent="0.25">
      <c r="B5">
        <v>2016</v>
      </c>
      <c r="C5">
        <v>28.351612903225803</v>
      </c>
      <c r="D5">
        <v>31.151851851851848</v>
      </c>
      <c r="E5">
        <v>28.948387096774198</v>
      </c>
      <c r="F5">
        <v>29.093333333333327</v>
      </c>
      <c r="G5">
        <v>27.151612903225807</v>
      </c>
      <c r="H5">
        <v>24.619999999999997</v>
      </c>
      <c r="I5">
        <v>26.580645161290327</v>
      </c>
      <c r="J5">
        <v>27.938709677419347</v>
      </c>
      <c r="K5">
        <v>30.033333333333328</v>
      </c>
      <c r="L5">
        <v>29.638709677419357</v>
      </c>
      <c r="M5">
        <v>27.949999999999996</v>
      </c>
      <c r="N5">
        <v>28.951612903225808</v>
      </c>
      <c r="O5">
        <v>28.367484070091596</v>
      </c>
    </row>
    <row r="6" spans="2:15" x14ac:dyDescent="0.25">
      <c r="B6">
        <v>2017</v>
      </c>
      <c r="C6">
        <v>30.206451612903233</v>
      </c>
      <c r="D6">
        <v>28.36428571428571</v>
      </c>
      <c r="E6">
        <v>29.499999999999996</v>
      </c>
      <c r="F6">
        <v>28.120000000000005</v>
      </c>
      <c r="G6">
        <v>25.941935483870971</v>
      </c>
      <c r="H6">
        <v>25.906666666666663</v>
      </c>
      <c r="I6">
        <v>23.390322580645162</v>
      </c>
      <c r="J6">
        <v>27.57586206896552</v>
      </c>
      <c r="K6">
        <v>27.649999999999995</v>
      </c>
      <c r="L6">
        <v>30.538709677419359</v>
      </c>
      <c r="M6">
        <v>27.326666666666668</v>
      </c>
      <c r="N6">
        <v>28.545161290322579</v>
      </c>
      <c r="O6">
        <v>27.755505146812155</v>
      </c>
    </row>
    <row r="7" spans="2:15" x14ac:dyDescent="0.25">
      <c r="B7">
        <v>2018</v>
      </c>
      <c r="C7">
        <v>29.761290322580642</v>
      </c>
      <c r="D7">
        <v>28.167857142857148</v>
      </c>
      <c r="E7">
        <v>29.154838709677421</v>
      </c>
      <c r="F7">
        <v>27.053333333333331</v>
      </c>
      <c r="G7">
        <v>26.219354838709684</v>
      </c>
      <c r="H7">
        <v>26.269999999999992</v>
      </c>
      <c r="I7">
        <v>26.596774193548388</v>
      </c>
      <c r="J7">
        <v>26.174193548387095</v>
      </c>
      <c r="K7">
        <v>28.509999999999998</v>
      </c>
      <c r="L7">
        <v>29.499999999999996</v>
      </c>
      <c r="M7">
        <v>27.01</v>
      </c>
      <c r="N7">
        <v>29.199999999999996</v>
      </c>
      <c r="O7">
        <v>27.801470174091136</v>
      </c>
    </row>
    <row r="8" spans="2:15" x14ac:dyDescent="0.25">
      <c r="B8">
        <v>2019</v>
      </c>
      <c r="C8">
        <v>30.954838709677418</v>
      </c>
      <c r="D8">
        <v>30.12857142857143</v>
      </c>
      <c r="E8">
        <v>29.525806451612908</v>
      </c>
      <c r="F8">
        <v>29.143333333333334</v>
      </c>
      <c r="G8">
        <v>27.832258064516129</v>
      </c>
      <c r="H8">
        <v>26.063333333333333</v>
      </c>
      <c r="I8">
        <v>25.6</v>
      </c>
      <c r="J8">
        <v>27.296774193548384</v>
      </c>
      <c r="K8">
        <v>30.506666666666668</v>
      </c>
      <c r="L8">
        <v>31.999999999999996</v>
      </c>
      <c r="M8">
        <v>29.950000000000003</v>
      </c>
      <c r="N8">
        <v>28.79354838709677</v>
      </c>
      <c r="O8">
        <v>28.982927547363033</v>
      </c>
    </row>
    <row r="9" spans="2:15" x14ac:dyDescent="0.25">
      <c r="B9">
        <v>2020</v>
      </c>
      <c r="C9">
        <v>29.519354838709678</v>
      </c>
      <c r="D9">
        <v>28.582758620689653</v>
      </c>
      <c r="E9">
        <v>28.187096774193545</v>
      </c>
      <c r="F9">
        <v>27.806666666666672</v>
      </c>
      <c r="G9">
        <v>25.20967741935484</v>
      </c>
      <c r="H9">
        <v>26.476666666666663</v>
      </c>
      <c r="I9">
        <v>26.722580645161294</v>
      </c>
      <c r="J9">
        <v>26.329032258064522</v>
      </c>
      <c r="K9">
        <v>31.269565217391307</v>
      </c>
      <c r="L9">
        <v>30.00967741935483</v>
      </c>
      <c r="M9">
        <v>28.84666666666666</v>
      </c>
      <c r="N9">
        <v>29.112903225806452</v>
      </c>
      <c r="O9">
        <v>28.172720534893845</v>
      </c>
    </row>
    <row r="10" spans="2:15" x14ac:dyDescent="0.25">
      <c r="B10">
        <v>2021</v>
      </c>
      <c r="C10">
        <v>30.345161290322576</v>
      </c>
      <c r="D10">
        <v>28.067857142857147</v>
      </c>
      <c r="E10">
        <v>29.383870967741931</v>
      </c>
      <c r="F10">
        <v>28.303333333333331</v>
      </c>
      <c r="G10">
        <v>27.700000000000003</v>
      </c>
      <c r="H10">
        <v>26.279999999999994</v>
      </c>
      <c r="I10">
        <v>25.364516129032257</v>
      </c>
      <c r="J10">
        <v>26.748387096774188</v>
      </c>
      <c r="K10">
        <v>31.88666666666666</v>
      </c>
      <c r="L10">
        <v>28.525806451612905</v>
      </c>
      <c r="M10">
        <v>27.816666666666666</v>
      </c>
      <c r="N10">
        <v>27.64516129032258</v>
      </c>
      <c r="O10">
        <v>28.172285586277521</v>
      </c>
    </row>
    <row r="11" spans="2:15" x14ac:dyDescent="0.25">
      <c r="B11">
        <v>2022</v>
      </c>
      <c r="C11">
        <v>28.541935483870972</v>
      </c>
      <c r="D11">
        <v>28.160714285714288</v>
      </c>
      <c r="E11">
        <v>30.680645161290322</v>
      </c>
      <c r="F11">
        <v>29.516666666666669</v>
      </c>
      <c r="G11">
        <v>25.370967741935484</v>
      </c>
      <c r="H11">
        <v>25.866666666666671</v>
      </c>
      <c r="I11">
        <v>25.938709677419357</v>
      </c>
      <c r="J11">
        <v>27.380645161290321</v>
      </c>
      <c r="K11">
        <v>28.600000000000005</v>
      </c>
      <c r="L11">
        <v>29.883870967741935</v>
      </c>
      <c r="M11">
        <v>27.79</v>
      </c>
      <c r="N11">
        <v>27.445161290322577</v>
      </c>
      <c r="O11">
        <v>27.931331925243217</v>
      </c>
    </row>
    <row r="12" spans="2:15" x14ac:dyDescent="0.25">
      <c r="B12">
        <v>2023</v>
      </c>
      <c r="C12">
        <v>28.338709677419352</v>
      </c>
      <c r="D12">
        <v>30.625</v>
      </c>
      <c r="E12">
        <v>30.290322580645153</v>
      </c>
      <c r="F12">
        <v>28.253333333333334</v>
      </c>
      <c r="G12">
        <v>26.825806451612905</v>
      </c>
      <c r="H12">
        <v>25.679999999999993</v>
      </c>
      <c r="I12">
        <v>26.629032258064516</v>
      </c>
      <c r="J12">
        <v>28.612903225806448</v>
      </c>
      <c r="K12">
        <v>31.56333333333334</v>
      </c>
      <c r="L12">
        <v>31.464516129032258</v>
      </c>
      <c r="M12">
        <v>32.483333333333327</v>
      </c>
      <c r="N12">
        <v>31.22258064516129</v>
      </c>
      <c r="O12">
        <v>29.332405913978494</v>
      </c>
    </row>
    <row r="13" spans="2:15" x14ac:dyDescent="0.25">
      <c r="B13">
        <v>2024</v>
      </c>
      <c r="C13">
        <v>30.170967741935488</v>
      </c>
      <c r="D13">
        <v>30.010344827586206</v>
      </c>
      <c r="E13">
        <v>30.745161290322585</v>
      </c>
      <c r="F13">
        <v>29.399999999999995</v>
      </c>
      <c r="G13">
        <v>29.035483870967749</v>
      </c>
      <c r="H13">
        <v>27.300000000000004</v>
      </c>
      <c r="I13">
        <v>27.348387096774182</v>
      </c>
      <c r="J13">
        <v>28.909677419354836</v>
      </c>
      <c r="K13">
        <v>32.46</v>
      </c>
      <c r="L13">
        <v>30.448387096774198</v>
      </c>
      <c r="M13">
        <v>28.013333333333332</v>
      </c>
      <c r="N13">
        <v>28.674193548387091</v>
      </c>
      <c r="O13">
        <v>29.376328018786307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EA1C4-44AD-4C6E-8E99-B8FEFA317B59}">
  <dimension ref="B2:I134"/>
  <sheetViews>
    <sheetView tabSelected="1" workbookViewId="0">
      <selection activeCell="L11" sqref="L11"/>
    </sheetView>
  </sheetViews>
  <sheetFormatPr defaultRowHeight="15" x14ac:dyDescent="0.25"/>
  <cols>
    <col min="6" max="6" width="17.140625" customWidth="1"/>
    <col min="7" max="7" width="13.5703125" customWidth="1"/>
  </cols>
  <sheetData>
    <row r="2" spans="2:9" ht="45" x14ac:dyDescent="0.25">
      <c r="B2" s="3" t="s">
        <v>14</v>
      </c>
      <c r="C2" s="3" t="s">
        <v>31</v>
      </c>
      <c r="D2" s="3" t="s">
        <v>15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</row>
    <row r="3" spans="2:9" x14ac:dyDescent="0.25">
      <c r="B3" s="2">
        <v>2014</v>
      </c>
      <c r="C3" s="2" t="s">
        <v>17</v>
      </c>
      <c r="D3">
        <v>19.770967741935483</v>
      </c>
      <c r="E3">
        <v>30.79677419354838</v>
      </c>
      <c r="F3">
        <v>20</v>
      </c>
      <c r="G3">
        <v>28.7</v>
      </c>
      <c r="H3">
        <f>D3-F3</f>
        <v>-0.22903225806451744</v>
      </c>
      <c r="I3">
        <f>E3-G3</f>
        <v>2.0967741935483808</v>
      </c>
    </row>
    <row r="4" spans="2:9" x14ac:dyDescent="0.25">
      <c r="B4" s="2">
        <v>2014</v>
      </c>
      <c r="C4" s="2" t="s">
        <v>18</v>
      </c>
      <c r="D4">
        <v>19.867857142857144</v>
      </c>
      <c r="E4">
        <v>30.289285714285707</v>
      </c>
      <c r="F4">
        <v>20.2</v>
      </c>
      <c r="G4">
        <v>29.1</v>
      </c>
      <c r="H4">
        <f>D4-F4</f>
        <v>-0.33214285714285552</v>
      </c>
      <c r="I4">
        <f t="shared" ref="I4:I67" si="0">E4-G4</f>
        <v>1.1892857142857061</v>
      </c>
    </row>
    <row r="5" spans="2:9" x14ac:dyDescent="0.25">
      <c r="B5" s="2">
        <v>2014</v>
      </c>
      <c r="C5" s="2" t="s">
        <v>19</v>
      </c>
      <c r="D5">
        <v>19.212903225806453</v>
      </c>
      <c r="E5">
        <v>28.570967741935487</v>
      </c>
      <c r="F5">
        <v>19.8</v>
      </c>
      <c r="G5">
        <v>28.4</v>
      </c>
      <c r="H5">
        <f>D5-F5</f>
        <v>-0.58709677419354733</v>
      </c>
      <c r="I5">
        <f t="shared" si="0"/>
        <v>0.17096774193548825</v>
      </c>
    </row>
    <row r="6" spans="2:9" x14ac:dyDescent="0.25">
      <c r="B6" s="2">
        <v>2014</v>
      </c>
      <c r="C6" s="2" t="s">
        <v>20</v>
      </c>
      <c r="D6">
        <v>17.886666666666667</v>
      </c>
      <c r="E6">
        <v>27.8</v>
      </c>
      <c r="F6">
        <v>18.8</v>
      </c>
      <c r="G6">
        <v>27.6</v>
      </c>
      <c r="H6">
        <f>D6-F6</f>
        <v>-0.913333333333334</v>
      </c>
      <c r="I6">
        <f t="shared" si="0"/>
        <v>0.19999999999999929</v>
      </c>
    </row>
    <row r="7" spans="2:9" x14ac:dyDescent="0.25">
      <c r="B7" s="2">
        <v>2014</v>
      </c>
      <c r="C7" s="2" t="s">
        <v>21</v>
      </c>
      <c r="D7">
        <v>15.412903225806451</v>
      </c>
      <c r="E7">
        <v>26.396774193548385</v>
      </c>
      <c r="F7">
        <v>16.600000000000001</v>
      </c>
      <c r="G7">
        <v>25.7</v>
      </c>
      <c r="H7">
        <f>D7-F7</f>
        <v>-1.1870967741935505</v>
      </c>
      <c r="I7">
        <f t="shared" si="0"/>
        <v>0.69677419354838577</v>
      </c>
    </row>
    <row r="8" spans="2:9" x14ac:dyDescent="0.25">
      <c r="B8" s="2">
        <v>2014</v>
      </c>
      <c r="C8" s="2" t="s">
        <v>22</v>
      </c>
      <c r="D8">
        <v>15.263333333333332</v>
      </c>
      <c r="E8">
        <v>25.86</v>
      </c>
      <c r="F8">
        <v>15.4</v>
      </c>
      <c r="G8">
        <v>24.9</v>
      </c>
      <c r="H8">
        <f>D8-F8</f>
        <v>-0.13666666666666849</v>
      </c>
      <c r="I8">
        <f t="shared" si="0"/>
        <v>0.96000000000000085</v>
      </c>
    </row>
    <row r="9" spans="2:9" x14ac:dyDescent="0.25">
      <c r="B9" s="2">
        <v>2014</v>
      </c>
      <c r="C9" s="2" t="s">
        <v>23</v>
      </c>
      <c r="D9">
        <v>14.667741935483873</v>
      </c>
      <c r="E9">
        <v>24.425806451612903</v>
      </c>
      <c r="F9">
        <v>15.2</v>
      </c>
      <c r="G9">
        <v>24.9</v>
      </c>
      <c r="H9">
        <f>D9-F9</f>
        <v>-0.53225806451612634</v>
      </c>
      <c r="I9">
        <f t="shared" si="0"/>
        <v>-0.47419354838709538</v>
      </c>
    </row>
    <row r="10" spans="2:9" x14ac:dyDescent="0.25">
      <c r="B10" s="2">
        <v>2014</v>
      </c>
      <c r="C10" s="2" t="s">
        <v>24</v>
      </c>
      <c r="D10">
        <v>14.725806451612906</v>
      </c>
      <c r="E10">
        <v>27.322580645161285</v>
      </c>
      <c r="F10">
        <v>15.8</v>
      </c>
      <c r="G10">
        <v>26.3</v>
      </c>
      <c r="H10">
        <f>D10-F10</f>
        <v>-1.074193548387095</v>
      </c>
      <c r="I10">
        <f t="shared" si="0"/>
        <v>1.022580645161284</v>
      </c>
    </row>
    <row r="11" spans="2:9" x14ac:dyDescent="0.25">
      <c r="B11" s="2">
        <v>2014</v>
      </c>
      <c r="C11" s="2" t="s">
        <v>25</v>
      </c>
      <c r="D11">
        <v>17.279999999999998</v>
      </c>
      <c r="E11">
        <v>29.489999999999988</v>
      </c>
      <c r="F11">
        <v>17.399999999999999</v>
      </c>
      <c r="G11">
        <v>27.9</v>
      </c>
      <c r="H11">
        <f>D11-F11</f>
        <v>-0.12000000000000099</v>
      </c>
      <c r="I11">
        <f t="shared" si="0"/>
        <v>1.5899999999999892</v>
      </c>
    </row>
    <row r="12" spans="2:9" x14ac:dyDescent="0.25">
      <c r="B12" s="2">
        <v>2014</v>
      </c>
      <c r="C12" s="2" t="s">
        <v>26</v>
      </c>
      <c r="D12">
        <v>18.167741935483868</v>
      </c>
      <c r="E12">
        <v>29.71935483870968</v>
      </c>
      <c r="F12">
        <v>18.8</v>
      </c>
      <c r="G12">
        <v>28.7</v>
      </c>
      <c r="H12">
        <f>D12-F12</f>
        <v>-0.63225806451613309</v>
      </c>
      <c r="I12">
        <f t="shared" si="0"/>
        <v>1.0193548387096811</v>
      </c>
    </row>
    <row r="13" spans="2:9" x14ac:dyDescent="0.25">
      <c r="B13" s="2">
        <v>2014</v>
      </c>
      <c r="C13" s="2" t="s">
        <v>27</v>
      </c>
      <c r="D13">
        <v>19.136666666666663</v>
      </c>
      <c r="E13">
        <v>28.566666666666666</v>
      </c>
      <c r="F13">
        <v>18.899999999999999</v>
      </c>
      <c r="G13">
        <v>27.7</v>
      </c>
      <c r="H13">
        <f>D13-F13</f>
        <v>0.23666666666666458</v>
      </c>
      <c r="I13">
        <f t="shared" si="0"/>
        <v>0.86666666666666714</v>
      </c>
    </row>
    <row r="14" spans="2:9" x14ac:dyDescent="0.25">
      <c r="B14" s="2">
        <v>2014</v>
      </c>
      <c r="C14" s="2" t="s">
        <v>28</v>
      </c>
      <c r="D14">
        <v>19.693548387096779</v>
      </c>
      <c r="E14">
        <v>28.819354838709678</v>
      </c>
      <c r="F14">
        <v>19.5</v>
      </c>
      <c r="G14">
        <v>28.2</v>
      </c>
      <c r="H14">
        <f>D14-F14</f>
        <v>0.19354838709677935</v>
      </c>
      <c r="I14">
        <f t="shared" si="0"/>
        <v>0.619354838709679</v>
      </c>
    </row>
    <row r="15" spans="2:9" x14ac:dyDescent="0.25">
      <c r="B15" s="2">
        <v>2015</v>
      </c>
      <c r="C15" s="2" t="s">
        <v>17</v>
      </c>
      <c r="D15">
        <v>20.016129032258057</v>
      </c>
      <c r="E15">
        <v>31.651612903225807</v>
      </c>
      <c r="F15">
        <v>20</v>
      </c>
      <c r="G15">
        <v>28.7</v>
      </c>
      <c r="H15">
        <f>D15-F15</f>
        <v>1.6129032258056952E-2</v>
      </c>
      <c r="I15">
        <f t="shared" si="0"/>
        <v>2.9516129032258078</v>
      </c>
    </row>
    <row r="16" spans="2:9" x14ac:dyDescent="0.25">
      <c r="B16" s="2">
        <v>2015</v>
      </c>
      <c r="C16" s="2" t="s">
        <v>18</v>
      </c>
      <c r="D16">
        <v>19.49642857142857</v>
      </c>
      <c r="E16">
        <v>28.953571428571429</v>
      </c>
      <c r="F16">
        <v>20.2</v>
      </c>
      <c r="G16">
        <v>29.1</v>
      </c>
      <c r="H16">
        <f>D16-F16</f>
        <v>-0.70357142857142918</v>
      </c>
      <c r="I16">
        <f t="shared" si="0"/>
        <v>-0.14642857142857224</v>
      </c>
    </row>
    <row r="17" spans="2:9" x14ac:dyDescent="0.25">
      <c r="B17" s="2">
        <v>2015</v>
      </c>
      <c r="C17" s="2" t="s">
        <v>19</v>
      </c>
      <c r="D17">
        <v>19.267741935483869</v>
      </c>
      <c r="E17">
        <v>28.925806451612907</v>
      </c>
      <c r="F17">
        <v>19.8</v>
      </c>
      <c r="G17">
        <v>28.4</v>
      </c>
      <c r="H17">
        <f>D17-F17</f>
        <v>-0.53225806451613167</v>
      </c>
      <c r="I17">
        <f t="shared" si="0"/>
        <v>0.52580645161290818</v>
      </c>
    </row>
    <row r="18" spans="2:9" x14ac:dyDescent="0.25">
      <c r="B18" s="2">
        <v>2015</v>
      </c>
      <c r="C18" s="2" t="s">
        <v>20</v>
      </c>
      <c r="D18">
        <v>18.383333333333333</v>
      </c>
      <c r="E18">
        <v>27.573333333333341</v>
      </c>
      <c r="F18">
        <v>18.8</v>
      </c>
      <c r="G18">
        <v>27.6</v>
      </c>
      <c r="H18">
        <f>D18-F18</f>
        <v>-0.41666666666666785</v>
      </c>
      <c r="I18">
        <f t="shared" si="0"/>
        <v>-2.6666666666660177E-2</v>
      </c>
    </row>
    <row r="19" spans="2:9" x14ac:dyDescent="0.25">
      <c r="B19" s="2">
        <v>2015</v>
      </c>
      <c r="C19" s="2" t="s">
        <v>21</v>
      </c>
      <c r="D19">
        <v>16.254838709677415</v>
      </c>
      <c r="E19">
        <v>24.974193548387095</v>
      </c>
      <c r="F19">
        <v>16.600000000000001</v>
      </c>
      <c r="G19">
        <v>25.7</v>
      </c>
      <c r="H19">
        <f>D19-F19</f>
        <v>-0.34516129032258647</v>
      </c>
      <c r="I19">
        <f t="shared" si="0"/>
        <v>-0.72580645161290391</v>
      </c>
    </row>
    <row r="20" spans="2:9" x14ac:dyDescent="0.25">
      <c r="B20" s="2">
        <v>2015</v>
      </c>
      <c r="C20" s="2" t="s">
        <v>22</v>
      </c>
      <c r="D20">
        <v>14.660000000000004</v>
      </c>
      <c r="E20">
        <v>24.916666666666668</v>
      </c>
      <c r="F20">
        <v>15.4</v>
      </c>
      <c r="G20">
        <v>24.9</v>
      </c>
      <c r="H20">
        <f>D20-F20</f>
        <v>-0.73999999999999666</v>
      </c>
      <c r="I20">
        <f t="shared" si="0"/>
        <v>1.6666666666669272E-2</v>
      </c>
    </row>
    <row r="21" spans="2:9" x14ac:dyDescent="0.25">
      <c r="B21" s="2">
        <v>2015</v>
      </c>
      <c r="C21" s="2" t="s">
        <v>23</v>
      </c>
      <c r="D21">
        <v>15.390322580645163</v>
      </c>
      <c r="E21">
        <v>25.967741935483872</v>
      </c>
      <c r="F21">
        <v>15.2</v>
      </c>
      <c r="G21">
        <v>24.9</v>
      </c>
      <c r="H21">
        <f>D21-F21</f>
        <v>0.19032258064516405</v>
      </c>
      <c r="I21">
        <f t="shared" si="0"/>
        <v>1.0677419354838733</v>
      </c>
    </row>
    <row r="22" spans="2:9" x14ac:dyDescent="0.25">
      <c r="B22" s="2">
        <v>2015</v>
      </c>
      <c r="C22" s="2" t="s">
        <v>24</v>
      </c>
      <c r="D22">
        <v>15.645161290322585</v>
      </c>
      <c r="E22">
        <v>27.161290322580641</v>
      </c>
      <c r="F22">
        <v>15.8</v>
      </c>
      <c r="G22">
        <v>26.3</v>
      </c>
      <c r="H22">
        <f>D22-F22</f>
        <v>-0.15483870967741531</v>
      </c>
      <c r="I22">
        <f t="shared" si="0"/>
        <v>0.86129032258063987</v>
      </c>
    </row>
    <row r="23" spans="2:9" x14ac:dyDescent="0.25">
      <c r="B23" s="2">
        <v>2015</v>
      </c>
      <c r="C23" s="2" t="s">
        <v>25</v>
      </c>
      <c r="D23">
        <v>19.130000000000003</v>
      </c>
      <c r="E23">
        <v>30.736666666666672</v>
      </c>
      <c r="F23">
        <v>17.399999999999999</v>
      </c>
      <c r="G23">
        <v>27.9</v>
      </c>
      <c r="H23">
        <f>D23-F23</f>
        <v>1.730000000000004</v>
      </c>
      <c r="I23">
        <f t="shared" si="0"/>
        <v>2.8366666666666731</v>
      </c>
    </row>
    <row r="24" spans="2:9" x14ac:dyDescent="0.25">
      <c r="B24" s="2">
        <v>2015</v>
      </c>
      <c r="C24" s="2" t="s">
        <v>26</v>
      </c>
      <c r="D24">
        <v>20.590322580645164</v>
      </c>
      <c r="E24">
        <v>32.735483870967741</v>
      </c>
      <c r="F24">
        <v>18.8</v>
      </c>
      <c r="G24">
        <v>28.7</v>
      </c>
      <c r="H24">
        <f>D24-F24</f>
        <v>1.7903225806451637</v>
      </c>
      <c r="I24">
        <f t="shared" si="0"/>
        <v>4.0354838709677416</v>
      </c>
    </row>
    <row r="25" spans="2:9" x14ac:dyDescent="0.25">
      <c r="B25" s="2">
        <v>2015</v>
      </c>
      <c r="C25" s="2" t="s">
        <v>27</v>
      </c>
      <c r="D25">
        <v>20.576666666666664</v>
      </c>
      <c r="E25">
        <v>30.836666666666666</v>
      </c>
      <c r="F25">
        <v>18.899999999999999</v>
      </c>
      <c r="G25">
        <v>27.7</v>
      </c>
      <c r="H25">
        <f>D25-F25</f>
        <v>1.6766666666666659</v>
      </c>
      <c r="I25">
        <f t="shared" si="0"/>
        <v>3.1366666666666667</v>
      </c>
    </row>
    <row r="26" spans="2:9" x14ac:dyDescent="0.25">
      <c r="B26" s="2">
        <v>2015</v>
      </c>
      <c r="C26" s="2" t="s">
        <v>28</v>
      </c>
      <c r="D26">
        <v>19.906451612903229</v>
      </c>
      <c r="E26">
        <v>30.003225806451614</v>
      </c>
      <c r="F26">
        <v>19.5</v>
      </c>
      <c r="G26">
        <v>28.2</v>
      </c>
      <c r="H26">
        <f>D26-F26</f>
        <v>0.40645161290322918</v>
      </c>
      <c r="I26">
        <f t="shared" si="0"/>
        <v>1.8032258064516142</v>
      </c>
    </row>
    <row r="27" spans="2:9" x14ac:dyDescent="0.25">
      <c r="B27" s="2">
        <v>2016</v>
      </c>
      <c r="C27" s="2" t="s">
        <v>17</v>
      </c>
      <c r="D27">
        <v>19.890322580645162</v>
      </c>
      <c r="E27">
        <v>28.351612903225803</v>
      </c>
      <c r="F27">
        <v>20</v>
      </c>
      <c r="G27">
        <v>28.7</v>
      </c>
      <c r="H27">
        <f>D27-F27</f>
        <v>-0.10967741935483843</v>
      </c>
      <c r="I27">
        <f t="shared" si="0"/>
        <v>-0.34838709677419644</v>
      </c>
    </row>
    <row r="28" spans="2:9" x14ac:dyDescent="0.25">
      <c r="B28" s="2">
        <v>2016</v>
      </c>
      <c r="C28" s="2" t="s">
        <v>18</v>
      </c>
      <c r="D28">
        <v>20.62142857142857</v>
      </c>
      <c r="E28">
        <v>31.151851851851848</v>
      </c>
      <c r="F28">
        <v>20.2</v>
      </c>
      <c r="G28">
        <v>29.1</v>
      </c>
      <c r="H28">
        <f>D28-F28</f>
        <v>0.42142857142857082</v>
      </c>
      <c r="I28">
        <f t="shared" si="0"/>
        <v>2.0518518518518469</v>
      </c>
    </row>
    <row r="29" spans="2:9" x14ac:dyDescent="0.25">
      <c r="B29" s="2">
        <v>2016</v>
      </c>
      <c r="C29" s="2" t="s">
        <v>19</v>
      </c>
      <c r="D29">
        <v>19.693548387096776</v>
      </c>
      <c r="E29">
        <v>28.948387096774198</v>
      </c>
      <c r="F29">
        <v>19.8</v>
      </c>
      <c r="G29">
        <v>28.4</v>
      </c>
      <c r="H29">
        <f>D29-F29</f>
        <v>-0.10645161290322491</v>
      </c>
      <c r="I29">
        <f t="shared" si="0"/>
        <v>0.54838709677419928</v>
      </c>
    </row>
    <row r="30" spans="2:9" x14ac:dyDescent="0.25">
      <c r="B30" s="2">
        <v>2016</v>
      </c>
      <c r="C30" s="2" t="s">
        <v>20</v>
      </c>
      <c r="D30">
        <v>18.970000000000002</v>
      </c>
      <c r="E30">
        <v>29.093333333333327</v>
      </c>
      <c r="F30">
        <v>18.8</v>
      </c>
      <c r="G30">
        <v>27.6</v>
      </c>
      <c r="H30">
        <f>D30-F30</f>
        <v>0.17000000000000171</v>
      </c>
      <c r="I30">
        <f t="shared" si="0"/>
        <v>1.4933333333333252</v>
      </c>
    </row>
    <row r="31" spans="2:9" x14ac:dyDescent="0.25">
      <c r="B31" s="2">
        <v>2016</v>
      </c>
      <c r="C31" s="2" t="s">
        <v>21</v>
      </c>
      <c r="D31">
        <v>16.583870967741934</v>
      </c>
      <c r="E31">
        <v>27.151612903225807</v>
      </c>
      <c r="F31">
        <v>16.600000000000001</v>
      </c>
      <c r="G31">
        <v>25.7</v>
      </c>
      <c r="H31">
        <f>D31-F31</f>
        <v>-1.612903225806761E-2</v>
      </c>
      <c r="I31">
        <f t="shared" si="0"/>
        <v>1.4516129032258078</v>
      </c>
    </row>
    <row r="32" spans="2:9" x14ac:dyDescent="0.25">
      <c r="B32" s="2">
        <v>2016</v>
      </c>
      <c r="C32" s="2" t="s">
        <v>22</v>
      </c>
      <c r="D32">
        <v>14.633333333333331</v>
      </c>
      <c r="E32">
        <v>24.619999999999997</v>
      </c>
      <c r="F32">
        <v>15.4</v>
      </c>
      <c r="G32">
        <v>24.9</v>
      </c>
      <c r="H32">
        <f>D32-F32</f>
        <v>-0.76666666666666927</v>
      </c>
      <c r="I32">
        <f t="shared" si="0"/>
        <v>-0.28000000000000114</v>
      </c>
    </row>
    <row r="33" spans="2:9" x14ac:dyDescent="0.25">
      <c r="B33" s="2">
        <v>2016</v>
      </c>
      <c r="C33" s="2" t="s">
        <v>23</v>
      </c>
      <c r="D33">
        <v>14.71290322580645</v>
      </c>
      <c r="E33">
        <v>26.580645161290327</v>
      </c>
      <c r="F33">
        <v>15.2</v>
      </c>
      <c r="G33">
        <v>24.9</v>
      </c>
      <c r="H33">
        <f>D33-F33</f>
        <v>-0.48709677419354946</v>
      </c>
      <c r="I33">
        <f t="shared" si="0"/>
        <v>1.6806451612903288</v>
      </c>
    </row>
    <row r="34" spans="2:9" x14ac:dyDescent="0.25">
      <c r="B34" s="2">
        <v>2016</v>
      </c>
      <c r="C34" s="2" t="s">
        <v>24</v>
      </c>
      <c r="D34">
        <v>15.754838709677417</v>
      </c>
      <c r="E34">
        <v>27.938709677419347</v>
      </c>
      <c r="F34">
        <v>15.8</v>
      </c>
      <c r="G34">
        <v>26.3</v>
      </c>
      <c r="H34">
        <f>D34-F34</f>
        <v>-4.516129032258398E-2</v>
      </c>
      <c r="I34">
        <f t="shared" si="0"/>
        <v>1.6387096774193459</v>
      </c>
    </row>
    <row r="35" spans="2:9" x14ac:dyDescent="0.25">
      <c r="B35" s="2">
        <v>2016</v>
      </c>
      <c r="C35" s="2" t="s">
        <v>25</v>
      </c>
      <c r="D35">
        <v>18.236666666666668</v>
      </c>
      <c r="E35">
        <v>30.033333333333328</v>
      </c>
      <c r="F35">
        <v>17.399999999999999</v>
      </c>
      <c r="G35">
        <v>27.9</v>
      </c>
      <c r="H35">
        <f>D35-F35</f>
        <v>0.83666666666666956</v>
      </c>
      <c r="I35">
        <f t="shared" si="0"/>
        <v>2.1333333333333293</v>
      </c>
    </row>
    <row r="36" spans="2:9" x14ac:dyDescent="0.25">
      <c r="B36" s="2">
        <v>2016</v>
      </c>
      <c r="C36" s="2" t="s">
        <v>26</v>
      </c>
      <c r="D36">
        <v>19.451612903225808</v>
      </c>
      <c r="E36">
        <v>29.638709677419357</v>
      </c>
      <c r="F36">
        <v>18.8</v>
      </c>
      <c r="G36">
        <v>28.7</v>
      </c>
      <c r="H36">
        <f>D36-F36</f>
        <v>0.65161290322580712</v>
      </c>
      <c r="I36">
        <f t="shared" si="0"/>
        <v>0.93870967741935729</v>
      </c>
    </row>
    <row r="37" spans="2:9" x14ac:dyDescent="0.25">
      <c r="B37" s="2">
        <v>2016</v>
      </c>
      <c r="C37" s="2" t="s">
        <v>27</v>
      </c>
      <c r="D37">
        <v>18.686666666666667</v>
      </c>
      <c r="E37">
        <v>27.949999999999996</v>
      </c>
      <c r="F37">
        <v>18.899999999999999</v>
      </c>
      <c r="G37">
        <v>27.7</v>
      </c>
      <c r="H37">
        <f>D37-F37</f>
        <v>-0.21333333333333115</v>
      </c>
      <c r="I37">
        <f t="shared" si="0"/>
        <v>0.24999999999999645</v>
      </c>
    </row>
    <row r="38" spans="2:9" x14ac:dyDescent="0.25">
      <c r="B38" s="2">
        <v>2016</v>
      </c>
      <c r="C38" s="2" t="s">
        <v>28</v>
      </c>
      <c r="D38">
        <v>19.096774193548391</v>
      </c>
      <c r="E38">
        <v>28.951612903225808</v>
      </c>
      <c r="F38">
        <v>19.5</v>
      </c>
      <c r="G38">
        <v>28.2</v>
      </c>
      <c r="H38">
        <f>D38-F38</f>
        <v>-0.40322580645160855</v>
      </c>
      <c r="I38">
        <f t="shared" si="0"/>
        <v>0.75161290322580854</v>
      </c>
    </row>
    <row r="39" spans="2:9" x14ac:dyDescent="0.25">
      <c r="B39" s="2" t="s">
        <v>32</v>
      </c>
      <c r="C39" s="2" t="s">
        <v>17</v>
      </c>
      <c r="D39">
        <v>20.235483870967734</v>
      </c>
      <c r="E39">
        <v>30.206451612903233</v>
      </c>
      <c r="F39">
        <v>20</v>
      </c>
      <c r="G39">
        <v>28.7</v>
      </c>
      <c r="H39">
        <f>D39-F39</f>
        <v>0.23548387096773382</v>
      </c>
      <c r="I39">
        <f t="shared" si="0"/>
        <v>1.5064516129032341</v>
      </c>
    </row>
    <row r="40" spans="2:9" x14ac:dyDescent="0.25">
      <c r="B40" s="2" t="s">
        <v>32</v>
      </c>
      <c r="C40" s="2" t="s">
        <v>18</v>
      </c>
      <c r="D40">
        <v>19.467857142857149</v>
      </c>
      <c r="E40">
        <v>28.36428571428571</v>
      </c>
      <c r="F40">
        <v>20.2</v>
      </c>
      <c r="G40">
        <v>29.1</v>
      </c>
      <c r="H40">
        <f>D40-F40</f>
        <v>-0.73214285714285054</v>
      </c>
      <c r="I40">
        <f t="shared" si="0"/>
        <v>-0.73571428571429109</v>
      </c>
    </row>
    <row r="41" spans="2:9" x14ac:dyDescent="0.25">
      <c r="B41" s="2" t="s">
        <v>32</v>
      </c>
      <c r="C41" s="2" t="s">
        <v>19</v>
      </c>
      <c r="D41">
        <v>18.641935483870967</v>
      </c>
      <c r="E41">
        <v>29.499999999999996</v>
      </c>
      <c r="F41">
        <v>19.8</v>
      </c>
      <c r="G41">
        <v>28.4</v>
      </c>
      <c r="H41">
        <f>D41-F41</f>
        <v>-1.1580645161290342</v>
      </c>
      <c r="I41">
        <f t="shared" si="0"/>
        <v>1.0999999999999979</v>
      </c>
    </row>
    <row r="42" spans="2:9" x14ac:dyDescent="0.25">
      <c r="B42" s="2" t="s">
        <v>32</v>
      </c>
      <c r="C42" s="2" t="s">
        <v>20</v>
      </c>
      <c r="D42">
        <v>18.40666666666667</v>
      </c>
      <c r="E42">
        <v>28.120000000000005</v>
      </c>
      <c r="F42">
        <v>18.8</v>
      </c>
      <c r="G42">
        <v>27.6</v>
      </c>
      <c r="H42">
        <f>D42-F42</f>
        <v>-0.39333333333333087</v>
      </c>
      <c r="I42">
        <f t="shared" si="0"/>
        <v>0.52000000000000313</v>
      </c>
    </row>
    <row r="43" spans="2:9" x14ac:dyDescent="0.25">
      <c r="B43" s="2" t="s">
        <v>32</v>
      </c>
      <c r="C43" s="2" t="s">
        <v>21</v>
      </c>
      <c r="D43">
        <v>16.170967741935485</v>
      </c>
      <c r="E43">
        <v>25.941935483870971</v>
      </c>
      <c r="F43">
        <v>16.600000000000001</v>
      </c>
      <c r="G43">
        <v>25.7</v>
      </c>
      <c r="H43">
        <f>D43-F43</f>
        <v>-0.42903225806451672</v>
      </c>
      <c r="I43">
        <f t="shared" si="0"/>
        <v>0.24193548387097152</v>
      </c>
    </row>
    <row r="44" spans="2:9" x14ac:dyDescent="0.25">
      <c r="B44" s="2" t="s">
        <v>32</v>
      </c>
      <c r="C44" s="2" t="s">
        <v>22</v>
      </c>
      <c r="D44">
        <v>14.479999999999999</v>
      </c>
      <c r="E44">
        <v>25.906666666666663</v>
      </c>
      <c r="F44">
        <v>15.4</v>
      </c>
      <c r="G44">
        <v>24.9</v>
      </c>
      <c r="H44">
        <f>D44-F44</f>
        <v>-0.92000000000000171</v>
      </c>
      <c r="I44">
        <f t="shared" si="0"/>
        <v>1.0066666666666642</v>
      </c>
    </row>
    <row r="45" spans="2:9" x14ac:dyDescent="0.25">
      <c r="B45" s="2" t="s">
        <v>32</v>
      </c>
      <c r="C45" s="2" t="s">
        <v>23</v>
      </c>
      <c r="D45">
        <v>12.774193548387094</v>
      </c>
      <c r="E45">
        <v>23.390322580645162</v>
      </c>
      <c r="F45">
        <v>15.2</v>
      </c>
      <c r="G45">
        <v>24.9</v>
      </c>
      <c r="H45">
        <f>D45-F45</f>
        <v>-2.425806451612905</v>
      </c>
      <c r="I45">
        <f t="shared" si="0"/>
        <v>-1.509677419354837</v>
      </c>
    </row>
    <row r="46" spans="2:9" x14ac:dyDescent="0.25">
      <c r="B46" s="2" t="s">
        <v>32</v>
      </c>
      <c r="C46" s="2" t="s">
        <v>24</v>
      </c>
      <c r="D46">
        <v>14.890000000000002</v>
      </c>
      <c r="E46">
        <v>27.57586206896552</v>
      </c>
      <c r="F46">
        <v>15.8</v>
      </c>
      <c r="G46">
        <v>26.3</v>
      </c>
      <c r="H46">
        <f>D46-F46</f>
        <v>-0.90999999999999837</v>
      </c>
      <c r="I46">
        <f t="shared" si="0"/>
        <v>1.2758620689655196</v>
      </c>
    </row>
    <row r="47" spans="2:9" x14ac:dyDescent="0.25">
      <c r="B47" s="2" t="s">
        <v>32</v>
      </c>
      <c r="C47" s="2" t="s">
        <v>25</v>
      </c>
      <c r="D47">
        <v>15.87</v>
      </c>
      <c r="E47">
        <v>27.649999999999995</v>
      </c>
      <c r="F47">
        <v>17.399999999999999</v>
      </c>
      <c r="G47">
        <v>27.9</v>
      </c>
      <c r="H47">
        <f>D47-F47</f>
        <v>-1.5299999999999994</v>
      </c>
      <c r="I47">
        <f t="shared" si="0"/>
        <v>-0.25000000000000355</v>
      </c>
    </row>
    <row r="48" spans="2:9" x14ac:dyDescent="0.25">
      <c r="B48" s="2" t="s">
        <v>32</v>
      </c>
      <c r="C48" s="2" t="s">
        <v>26</v>
      </c>
      <c r="D48">
        <v>18.916129032258059</v>
      </c>
      <c r="E48">
        <v>30.538709677419359</v>
      </c>
      <c r="F48">
        <v>18.8</v>
      </c>
      <c r="G48">
        <v>28.7</v>
      </c>
      <c r="H48">
        <f>D48-F48</f>
        <v>0.11612903225805837</v>
      </c>
      <c r="I48">
        <f t="shared" si="0"/>
        <v>1.8387096774193594</v>
      </c>
    </row>
    <row r="49" spans="2:9" x14ac:dyDescent="0.25">
      <c r="B49" s="2" t="s">
        <v>32</v>
      </c>
      <c r="C49" s="2" t="s">
        <v>27</v>
      </c>
      <c r="D49">
        <v>18.74666666666667</v>
      </c>
      <c r="E49">
        <v>27.326666666666668</v>
      </c>
      <c r="F49">
        <v>18.899999999999999</v>
      </c>
      <c r="G49">
        <v>27.7</v>
      </c>
      <c r="H49">
        <f>D49-F49</f>
        <v>-0.15333333333332888</v>
      </c>
      <c r="I49">
        <f t="shared" si="0"/>
        <v>-0.3733333333333313</v>
      </c>
    </row>
    <row r="50" spans="2:9" x14ac:dyDescent="0.25">
      <c r="B50" s="2" t="s">
        <v>32</v>
      </c>
      <c r="C50" s="2" t="s">
        <v>28</v>
      </c>
      <c r="D50">
        <v>19.806451612903228</v>
      </c>
      <c r="E50">
        <v>28.545161290322579</v>
      </c>
      <c r="F50">
        <v>19.5</v>
      </c>
      <c r="G50">
        <v>28.2</v>
      </c>
      <c r="H50">
        <f>D50-F50</f>
        <v>0.30645161290322775</v>
      </c>
      <c r="I50">
        <f t="shared" si="0"/>
        <v>0.34516129032257936</v>
      </c>
    </row>
    <row r="51" spans="2:9" x14ac:dyDescent="0.25">
      <c r="B51" s="4">
        <v>2018</v>
      </c>
      <c r="C51" s="2" t="s">
        <v>17</v>
      </c>
      <c r="D51">
        <v>20.019354838709678</v>
      </c>
      <c r="E51">
        <v>29.761290322580642</v>
      </c>
      <c r="F51">
        <v>20</v>
      </c>
      <c r="G51">
        <v>28.7</v>
      </c>
      <c r="H51">
        <f>D51-F51</f>
        <v>1.935483870967758E-2</v>
      </c>
      <c r="I51">
        <f t="shared" si="0"/>
        <v>1.0612903225806427</v>
      </c>
    </row>
    <row r="52" spans="2:9" x14ac:dyDescent="0.25">
      <c r="B52" s="4">
        <v>2018</v>
      </c>
      <c r="C52" s="2" t="s">
        <v>18</v>
      </c>
      <c r="D52">
        <v>19.303571428571427</v>
      </c>
      <c r="E52">
        <v>28.167857142857148</v>
      </c>
      <c r="F52">
        <v>20.2</v>
      </c>
      <c r="G52">
        <v>29.1</v>
      </c>
      <c r="H52">
        <f>D52-F52</f>
        <v>-0.89642857142857224</v>
      </c>
      <c r="I52">
        <f t="shared" si="0"/>
        <v>-0.93214285714285339</v>
      </c>
    </row>
    <row r="53" spans="2:9" x14ac:dyDescent="0.25">
      <c r="B53" s="4">
        <v>2018</v>
      </c>
      <c r="C53" s="2" t="s">
        <v>19</v>
      </c>
      <c r="D53">
        <v>19.358064516129037</v>
      </c>
      <c r="E53">
        <v>29.154838709677421</v>
      </c>
      <c r="F53">
        <v>19.8</v>
      </c>
      <c r="G53">
        <v>28.4</v>
      </c>
      <c r="H53">
        <f>D53-F53</f>
        <v>-0.44193548387096371</v>
      </c>
      <c r="I53">
        <f t="shared" si="0"/>
        <v>0.75483870967742206</v>
      </c>
    </row>
    <row r="54" spans="2:9" x14ac:dyDescent="0.25">
      <c r="B54" s="4">
        <v>2018</v>
      </c>
      <c r="C54" s="2" t="s">
        <v>20</v>
      </c>
      <c r="D54">
        <v>17.733333333333331</v>
      </c>
      <c r="E54">
        <v>27.053333333333331</v>
      </c>
      <c r="F54">
        <v>18.8</v>
      </c>
      <c r="G54">
        <v>27.6</v>
      </c>
      <c r="H54">
        <f>D54-F54</f>
        <v>-1.06666666666667</v>
      </c>
      <c r="I54">
        <f t="shared" si="0"/>
        <v>-0.54666666666667041</v>
      </c>
    </row>
    <row r="55" spans="2:9" x14ac:dyDescent="0.25">
      <c r="B55" s="4">
        <v>2018</v>
      </c>
      <c r="C55" s="2" t="s">
        <v>21</v>
      </c>
      <c r="D55">
        <v>14.964516129032257</v>
      </c>
      <c r="E55">
        <v>26.219354838709684</v>
      </c>
      <c r="F55">
        <v>16.600000000000001</v>
      </c>
      <c r="G55">
        <v>25.7</v>
      </c>
      <c r="H55">
        <f>D55-F55</f>
        <v>-1.6354838709677448</v>
      </c>
      <c r="I55">
        <f t="shared" si="0"/>
        <v>0.51935483870968469</v>
      </c>
    </row>
    <row r="56" spans="2:9" x14ac:dyDescent="0.25">
      <c r="B56" s="4">
        <v>2018</v>
      </c>
      <c r="C56" s="2" t="s">
        <v>22</v>
      </c>
      <c r="D56">
        <v>15.539999999999996</v>
      </c>
      <c r="E56">
        <v>26.269999999999992</v>
      </c>
      <c r="F56">
        <v>15.4</v>
      </c>
      <c r="G56">
        <v>24.9</v>
      </c>
      <c r="H56">
        <f>D56-F56</f>
        <v>0.13999999999999524</v>
      </c>
      <c r="I56">
        <f t="shared" si="0"/>
        <v>1.3699999999999939</v>
      </c>
    </row>
    <row r="57" spans="2:9" x14ac:dyDescent="0.25">
      <c r="B57" s="4">
        <v>2018</v>
      </c>
      <c r="C57" s="2" t="s">
        <v>23</v>
      </c>
      <c r="D57">
        <v>14.087096774193549</v>
      </c>
      <c r="E57">
        <v>26.596774193548388</v>
      </c>
      <c r="F57">
        <v>15.2</v>
      </c>
      <c r="G57">
        <v>24.9</v>
      </c>
      <c r="H57">
        <f>D57-F57</f>
        <v>-1.1129032258064502</v>
      </c>
      <c r="I57">
        <f t="shared" si="0"/>
        <v>1.6967741935483893</v>
      </c>
    </row>
    <row r="58" spans="2:9" x14ac:dyDescent="0.25">
      <c r="B58" s="4">
        <v>2018</v>
      </c>
      <c r="C58" s="2" t="s">
        <v>24</v>
      </c>
      <c r="D58">
        <v>15.551612903225807</v>
      </c>
      <c r="E58">
        <v>26.174193548387095</v>
      </c>
      <c r="F58">
        <v>15.8</v>
      </c>
      <c r="G58">
        <v>26.3</v>
      </c>
      <c r="H58">
        <f>D58-F58</f>
        <v>-0.24838709677419324</v>
      </c>
      <c r="I58">
        <f t="shared" si="0"/>
        <v>-0.12580645161290605</v>
      </c>
    </row>
    <row r="59" spans="2:9" x14ac:dyDescent="0.25">
      <c r="B59" s="4">
        <v>2018</v>
      </c>
      <c r="C59" s="2" t="s">
        <v>25</v>
      </c>
      <c r="D59">
        <v>17.556666666666668</v>
      </c>
      <c r="E59">
        <v>28.509999999999998</v>
      </c>
      <c r="F59">
        <v>17.399999999999999</v>
      </c>
      <c r="G59">
        <v>27.9</v>
      </c>
      <c r="H59">
        <f>D59-F59</f>
        <v>0.15666666666666984</v>
      </c>
      <c r="I59">
        <f t="shared" si="0"/>
        <v>0.60999999999999943</v>
      </c>
    </row>
    <row r="60" spans="2:9" x14ac:dyDescent="0.25">
      <c r="B60" s="4">
        <v>2018</v>
      </c>
      <c r="C60" s="2" t="s">
        <v>26</v>
      </c>
      <c r="D60">
        <v>19.432258064516127</v>
      </c>
      <c r="E60">
        <v>29.499999999999996</v>
      </c>
      <c r="F60">
        <v>18.8</v>
      </c>
      <c r="G60">
        <v>28.7</v>
      </c>
      <c r="H60">
        <f>D60-F60</f>
        <v>0.63225806451612598</v>
      </c>
      <c r="I60">
        <f t="shared" si="0"/>
        <v>0.79999999999999716</v>
      </c>
    </row>
    <row r="61" spans="2:9" x14ac:dyDescent="0.25">
      <c r="B61" s="4">
        <v>2018</v>
      </c>
      <c r="C61" s="2" t="s">
        <v>27</v>
      </c>
      <c r="D61">
        <v>18.59666666666666</v>
      </c>
      <c r="E61">
        <v>27.01</v>
      </c>
      <c r="F61">
        <v>18.899999999999999</v>
      </c>
      <c r="G61">
        <v>27.7</v>
      </c>
      <c r="H61">
        <f>D61-F61</f>
        <v>-0.30333333333333812</v>
      </c>
      <c r="I61">
        <f t="shared" si="0"/>
        <v>-0.68999999999999773</v>
      </c>
    </row>
    <row r="62" spans="2:9" x14ac:dyDescent="0.25">
      <c r="B62" s="4">
        <v>2018</v>
      </c>
      <c r="C62" s="2" t="s">
        <v>28</v>
      </c>
      <c r="D62">
        <v>19.016129032258068</v>
      </c>
      <c r="E62">
        <v>29.199999999999996</v>
      </c>
      <c r="F62">
        <v>19.5</v>
      </c>
      <c r="G62">
        <v>28.2</v>
      </c>
      <c r="H62">
        <f>D62-F62</f>
        <v>-0.48387096774193239</v>
      </c>
      <c r="I62">
        <f t="shared" si="0"/>
        <v>0.99999999999999645</v>
      </c>
    </row>
    <row r="63" spans="2:9" x14ac:dyDescent="0.25">
      <c r="B63" s="4">
        <v>2019</v>
      </c>
      <c r="C63" s="2" t="s">
        <v>17</v>
      </c>
      <c r="D63">
        <v>20.377419354838711</v>
      </c>
      <c r="E63">
        <v>30.954838709677418</v>
      </c>
      <c r="F63">
        <v>20</v>
      </c>
      <c r="G63">
        <v>28.7</v>
      </c>
      <c r="H63">
        <f>D63-F63</f>
        <v>0.37741935483871103</v>
      </c>
      <c r="I63">
        <f t="shared" si="0"/>
        <v>2.2548387096774185</v>
      </c>
    </row>
    <row r="64" spans="2:9" x14ac:dyDescent="0.25">
      <c r="B64" s="4">
        <v>2019</v>
      </c>
      <c r="C64" s="2" t="s">
        <v>18</v>
      </c>
      <c r="D64">
        <v>20.160714285714285</v>
      </c>
      <c r="E64">
        <v>30.12857142857143</v>
      </c>
      <c r="F64">
        <v>20.2</v>
      </c>
      <c r="G64">
        <v>29.1</v>
      </c>
      <c r="H64">
        <f>D64-F64</f>
        <v>-3.928571428571459E-2</v>
      </c>
      <c r="I64">
        <f t="shared" si="0"/>
        <v>1.0285714285714285</v>
      </c>
    </row>
    <row r="65" spans="2:9" x14ac:dyDescent="0.25">
      <c r="B65" s="4">
        <v>2019</v>
      </c>
      <c r="C65" s="2" t="s">
        <v>19</v>
      </c>
      <c r="D65">
        <v>19.21935483870968</v>
      </c>
      <c r="E65">
        <v>29.525806451612908</v>
      </c>
      <c r="F65">
        <v>19.8</v>
      </c>
      <c r="G65">
        <v>28.4</v>
      </c>
      <c r="H65">
        <f>D65-F65</f>
        <v>-0.58064516129032029</v>
      </c>
      <c r="I65">
        <f t="shared" si="0"/>
        <v>1.1258064516129096</v>
      </c>
    </row>
    <row r="66" spans="2:9" x14ac:dyDescent="0.25">
      <c r="B66" s="4">
        <v>2019</v>
      </c>
      <c r="C66" s="2" t="s">
        <v>20</v>
      </c>
      <c r="D66">
        <v>18.88</v>
      </c>
      <c r="E66">
        <v>29.143333333333334</v>
      </c>
      <c r="F66">
        <v>18.8</v>
      </c>
      <c r="G66">
        <v>27.6</v>
      </c>
      <c r="H66">
        <f>D66-F66</f>
        <v>7.9999999999998295E-2</v>
      </c>
      <c r="I66">
        <f t="shared" si="0"/>
        <v>1.543333333333333</v>
      </c>
    </row>
    <row r="67" spans="2:9" x14ac:dyDescent="0.25">
      <c r="B67" s="4">
        <v>2019</v>
      </c>
      <c r="C67" s="2" t="s">
        <v>21</v>
      </c>
      <c r="D67">
        <v>17.096774193548388</v>
      </c>
      <c r="E67">
        <v>27.832258064516129</v>
      </c>
      <c r="F67">
        <v>16.600000000000001</v>
      </c>
      <c r="G67">
        <v>25.7</v>
      </c>
      <c r="H67">
        <f>D67-F67</f>
        <v>0.49677419354838648</v>
      </c>
      <c r="I67">
        <f t="shared" si="0"/>
        <v>2.1322580645161295</v>
      </c>
    </row>
    <row r="68" spans="2:9" x14ac:dyDescent="0.25">
      <c r="B68" s="4">
        <v>2019</v>
      </c>
      <c r="C68" s="2" t="s">
        <v>22</v>
      </c>
      <c r="D68">
        <v>14.78</v>
      </c>
      <c r="E68">
        <v>26.063333333333333</v>
      </c>
      <c r="F68">
        <v>15.4</v>
      </c>
      <c r="G68">
        <v>24.9</v>
      </c>
      <c r="H68">
        <f>D68-F68</f>
        <v>-0.62000000000000099</v>
      </c>
      <c r="I68">
        <f t="shared" ref="I68:I131" si="1">E68-G68</f>
        <v>1.163333333333334</v>
      </c>
    </row>
    <row r="69" spans="2:9" x14ac:dyDescent="0.25">
      <c r="B69" s="4">
        <v>2019</v>
      </c>
      <c r="C69" s="2" t="s">
        <v>23</v>
      </c>
      <c r="D69">
        <v>12.970967741935484</v>
      </c>
      <c r="E69">
        <v>25.6</v>
      </c>
      <c r="F69">
        <v>15.2</v>
      </c>
      <c r="G69">
        <v>24.9</v>
      </c>
      <c r="H69">
        <f>D69-F69</f>
        <v>-2.2290322580645157</v>
      </c>
      <c r="I69">
        <f t="shared" si="1"/>
        <v>0.70000000000000284</v>
      </c>
    </row>
    <row r="70" spans="2:9" x14ac:dyDescent="0.25">
      <c r="B70" s="4">
        <v>2019</v>
      </c>
      <c r="C70" s="2" t="s">
        <v>24</v>
      </c>
      <c r="D70">
        <v>15.561290322580643</v>
      </c>
      <c r="E70">
        <v>27.296774193548384</v>
      </c>
      <c r="F70">
        <v>15.8</v>
      </c>
      <c r="G70">
        <v>26.3</v>
      </c>
      <c r="H70">
        <f>D70-F70</f>
        <v>-0.238709677419358</v>
      </c>
      <c r="I70">
        <f t="shared" si="1"/>
        <v>0.99677419354838293</v>
      </c>
    </row>
    <row r="71" spans="2:9" x14ac:dyDescent="0.25">
      <c r="B71" s="4">
        <v>2019</v>
      </c>
      <c r="C71" s="2" t="s">
        <v>25</v>
      </c>
      <c r="D71">
        <v>18.5</v>
      </c>
      <c r="E71">
        <v>30.506666666666668</v>
      </c>
      <c r="F71">
        <v>17.399999999999999</v>
      </c>
      <c r="G71">
        <v>27.9</v>
      </c>
      <c r="H71">
        <f>D71-F71</f>
        <v>1.1000000000000014</v>
      </c>
      <c r="I71">
        <f t="shared" si="1"/>
        <v>2.6066666666666691</v>
      </c>
    </row>
    <row r="72" spans="2:9" x14ac:dyDescent="0.25">
      <c r="B72" s="4">
        <v>2019</v>
      </c>
      <c r="C72" s="2" t="s">
        <v>26</v>
      </c>
      <c r="D72">
        <v>19.354838709677416</v>
      </c>
      <c r="E72">
        <v>31.999999999999996</v>
      </c>
      <c r="F72">
        <v>18.8</v>
      </c>
      <c r="G72">
        <v>28.7</v>
      </c>
      <c r="H72">
        <f>D72-F72</f>
        <v>0.55483870967741566</v>
      </c>
      <c r="I72">
        <f t="shared" si="1"/>
        <v>3.2999999999999972</v>
      </c>
    </row>
    <row r="73" spans="2:9" x14ac:dyDescent="0.25">
      <c r="B73" s="4">
        <v>2019</v>
      </c>
      <c r="C73" s="2" t="s">
        <v>27</v>
      </c>
      <c r="D73">
        <v>19.690000000000001</v>
      </c>
      <c r="E73">
        <v>29.950000000000003</v>
      </c>
      <c r="F73">
        <v>18.899999999999999</v>
      </c>
      <c r="G73">
        <v>27.7</v>
      </c>
      <c r="H73">
        <f>D73-F73</f>
        <v>0.7900000000000027</v>
      </c>
      <c r="I73">
        <f t="shared" si="1"/>
        <v>2.2500000000000036</v>
      </c>
    </row>
    <row r="74" spans="2:9" x14ac:dyDescent="0.25">
      <c r="B74" s="4">
        <v>2019</v>
      </c>
      <c r="C74" s="2" t="s">
        <v>28</v>
      </c>
      <c r="D74">
        <v>19.435483870967737</v>
      </c>
      <c r="E74">
        <v>28.79354838709677</v>
      </c>
      <c r="F74">
        <v>19.5</v>
      </c>
      <c r="G74">
        <v>28.2</v>
      </c>
      <c r="H74">
        <f>D74-F74</f>
        <v>-6.4516129032263336E-2</v>
      </c>
      <c r="I74">
        <f t="shared" si="1"/>
        <v>0.59354838709677082</v>
      </c>
    </row>
    <row r="75" spans="2:9" x14ac:dyDescent="0.25">
      <c r="B75" s="4">
        <v>2020</v>
      </c>
      <c r="C75" s="2" t="s">
        <v>17</v>
      </c>
      <c r="D75">
        <v>19.903225806451616</v>
      </c>
      <c r="E75">
        <v>29.519354838709678</v>
      </c>
      <c r="F75">
        <v>20</v>
      </c>
      <c r="G75">
        <v>28.7</v>
      </c>
      <c r="H75">
        <f>D75-F75</f>
        <v>-9.6774193548384346E-2</v>
      </c>
      <c r="I75">
        <f t="shared" si="1"/>
        <v>0.81935483870967829</v>
      </c>
    </row>
    <row r="76" spans="2:9" x14ac:dyDescent="0.25">
      <c r="B76" s="4">
        <v>2020</v>
      </c>
      <c r="C76" s="2" t="s">
        <v>18</v>
      </c>
      <c r="D76">
        <v>19.651724137931033</v>
      </c>
      <c r="E76">
        <v>28.582758620689653</v>
      </c>
      <c r="F76">
        <v>20.2</v>
      </c>
      <c r="G76">
        <v>29.1</v>
      </c>
      <c r="H76">
        <f>D76-F76</f>
        <v>-0.54827586206896584</v>
      </c>
      <c r="I76">
        <f t="shared" si="1"/>
        <v>-0.51724137931034875</v>
      </c>
    </row>
    <row r="77" spans="2:9" x14ac:dyDescent="0.25">
      <c r="B77" s="4">
        <v>2020</v>
      </c>
      <c r="C77" s="2" t="s">
        <v>19</v>
      </c>
      <c r="D77">
        <v>18.683870967741932</v>
      </c>
      <c r="E77">
        <v>28.187096774193545</v>
      </c>
      <c r="F77">
        <v>19.8</v>
      </c>
      <c r="G77">
        <v>28.4</v>
      </c>
      <c r="H77">
        <f>D77-F77</f>
        <v>-1.116129032258069</v>
      </c>
      <c r="I77">
        <f t="shared" si="1"/>
        <v>-0.21290322580645338</v>
      </c>
    </row>
    <row r="78" spans="2:9" x14ac:dyDescent="0.25">
      <c r="B78" s="4">
        <v>2020</v>
      </c>
      <c r="C78" s="2" t="s">
        <v>20</v>
      </c>
      <c r="D78">
        <v>17.693333333333335</v>
      </c>
      <c r="E78">
        <v>27.806666666666672</v>
      </c>
      <c r="F78">
        <v>18.8</v>
      </c>
      <c r="G78">
        <v>27.6</v>
      </c>
      <c r="H78">
        <f>D78-F78</f>
        <v>-1.1066666666666656</v>
      </c>
      <c r="I78">
        <f t="shared" si="1"/>
        <v>0.20666666666667055</v>
      </c>
    </row>
    <row r="79" spans="2:9" x14ac:dyDescent="0.25">
      <c r="B79" s="4">
        <v>2020</v>
      </c>
      <c r="C79" s="2" t="s">
        <v>21</v>
      </c>
      <c r="D79">
        <v>14.04193548387097</v>
      </c>
      <c r="E79">
        <v>25.20967741935484</v>
      </c>
      <c r="F79">
        <v>16.600000000000001</v>
      </c>
      <c r="G79">
        <v>25.7</v>
      </c>
      <c r="H79">
        <f>D79-F79</f>
        <v>-2.558064516129031</v>
      </c>
      <c r="I79">
        <f t="shared" si="1"/>
        <v>-0.49032258064515943</v>
      </c>
    </row>
    <row r="80" spans="2:9" x14ac:dyDescent="0.25">
      <c r="B80" s="4">
        <v>2020</v>
      </c>
      <c r="C80" s="2" t="s">
        <v>22</v>
      </c>
      <c r="D80">
        <v>13.903333333333332</v>
      </c>
      <c r="E80">
        <v>26.476666666666663</v>
      </c>
      <c r="F80">
        <v>15.4</v>
      </c>
      <c r="G80">
        <v>24.9</v>
      </c>
      <c r="H80">
        <f>D80-F80</f>
        <v>-1.4966666666666679</v>
      </c>
      <c r="I80">
        <f t="shared" si="1"/>
        <v>1.5766666666666644</v>
      </c>
    </row>
    <row r="81" spans="2:9" x14ac:dyDescent="0.25">
      <c r="B81" s="4">
        <v>2020</v>
      </c>
      <c r="C81" s="2" t="s">
        <v>23</v>
      </c>
      <c r="D81">
        <v>14.774193548387094</v>
      </c>
      <c r="E81">
        <v>26.722580645161294</v>
      </c>
      <c r="F81">
        <v>15.2</v>
      </c>
      <c r="G81">
        <v>24.9</v>
      </c>
      <c r="H81">
        <f>D81-F81</f>
        <v>-0.42580645161290498</v>
      </c>
      <c r="I81">
        <f t="shared" si="1"/>
        <v>1.8225806451612954</v>
      </c>
    </row>
    <row r="82" spans="2:9" x14ac:dyDescent="0.25">
      <c r="B82" s="4">
        <v>2020</v>
      </c>
      <c r="C82" s="2" t="s">
        <v>24</v>
      </c>
      <c r="D82">
        <v>14.145161290322578</v>
      </c>
      <c r="E82">
        <v>26.329032258064522</v>
      </c>
      <c r="F82">
        <v>15.8</v>
      </c>
      <c r="G82">
        <v>26.3</v>
      </c>
      <c r="H82">
        <f>D82-F82</f>
        <v>-1.6548387096774224</v>
      </c>
      <c r="I82">
        <f t="shared" si="1"/>
        <v>2.9032258064521699E-2</v>
      </c>
    </row>
    <row r="83" spans="2:9" x14ac:dyDescent="0.25">
      <c r="B83" s="4">
        <v>2020</v>
      </c>
      <c r="C83" s="2" t="s">
        <v>25</v>
      </c>
      <c r="D83">
        <v>18.662499999999998</v>
      </c>
      <c r="E83">
        <v>31.269565217391307</v>
      </c>
      <c r="F83">
        <v>17.399999999999999</v>
      </c>
      <c r="G83">
        <v>27.9</v>
      </c>
      <c r="H83">
        <f>D83-F83</f>
        <v>1.2624999999999993</v>
      </c>
      <c r="I83">
        <f t="shared" si="1"/>
        <v>3.3695652173913082</v>
      </c>
    </row>
    <row r="84" spans="2:9" x14ac:dyDescent="0.25">
      <c r="B84" s="4">
        <v>2020</v>
      </c>
      <c r="C84" s="2" t="s">
        <v>26</v>
      </c>
      <c r="D84">
        <v>19.229032258064517</v>
      </c>
      <c r="E84">
        <v>30.00967741935483</v>
      </c>
      <c r="F84">
        <v>18.8</v>
      </c>
      <c r="G84">
        <v>28.7</v>
      </c>
      <c r="H84">
        <f>D84-F84</f>
        <v>0.42903225806451672</v>
      </c>
      <c r="I84">
        <f t="shared" si="1"/>
        <v>1.3096774193548306</v>
      </c>
    </row>
    <row r="85" spans="2:9" x14ac:dyDescent="0.25">
      <c r="B85" s="4">
        <v>2020</v>
      </c>
      <c r="C85" s="2" t="s">
        <v>27</v>
      </c>
      <c r="D85">
        <v>18.549999999999997</v>
      </c>
      <c r="E85">
        <v>28.84666666666666</v>
      </c>
      <c r="F85">
        <v>18.899999999999999</v>
      </c>
      <c r="G85">
        <v>27.7</v>
      </c>
      <c r="H85">
        <f>D85-F85</f>
        <v>-0.35000000000000142</v>
      </c>
      <c r="I85">
        <f t="shared" si="1"/>
        <v>1.1466666666666612</v>
      </c>
    </row>
    <row r="86" spans="2:9" x14ac:dyDescent="0.25">
      <c r="B86" s="4">
        <v>2020</v>
      </c>
      <c r="C86" s="2" t="s">
        <v>28</v>
      </c>
      <c r="D86">
        <v>19.42580645161291</v>
      </c>
      <c r="E86">
        <v>29.112903225806452</v>
      </c>
      <c r="F86">
        <v>19.5</v>
      </c>
      <c r="G86">
        <v>28.2</v>
      </c>
      <c r="H86">
        <f>D86-F86</f>
        <v>-7.4193548387089692E-2</v>
      </c>
      <c r="I86">
        <f t="shared" si="1"/>
        <v>0.91290322580645267</v>
      </c>
    </row>
    <row r="87" spans="2:9" x14ac:dyDescent="0.25">
      <c r="B87" s="4">
        <v>2021</v>
      </c>
      <c r="C87" s="2" t="s">
        <v>17</v>
      </c>
      <c r="D87">
        <v>19.1516129032258</v>
      </c>
      <c r="E87">
        <v>30.345161290322576</v>
      </c>
      <c r="F87">
        <v>20</v>
      </c>
      <c r="G87">
        <v>28.7</v>
      </c>
      <c r="H87">
        <f>D87-F87</f>
        <v>-0.84838709677419999</v>
      </c>
      <c r="I87">
        <f t="shared" si="1"/>
        <v>1.6451612903225765</v>
      </c>
    </row>
    <row r="88" spans="2:9" x14ac:dyDescent="0.25">
      <c r="B88" s="4">
        <v>2021</v>
      </c>
      <c r="C88" s="2" t="s">
        <v>18</v>
      </c>
      <c r="D88">
        <v>19.139285714285716</v>
      </c>
      <c r="E88">
        <v>28.067857142857147</v>
      </c>
      <c r="F88">
        <v>20.2</v>
      </c>
      <c r="G88">
        <v>29.1</v>
      </c>
      <c r="H88">
        <f>D88-F88</f>
        <v>-1.0607142857142833</v>
      </c>
      <c r="I88">
        <f t="shared" si="1"/>
        <v>-1.0321428571428548</v>
      </c>
    </row>
    <row r="89" spans="2:9" x14ac:dyDescent="0.25">
      <c r="B89" s="4">
        <v>2021</v>
      </c>
      <c r="C89" s="2" t="s">
        <v>19</v>
      </c>
      <c r="D89">
        <v>18.735483870967744</v>
      </c>
      <c r="E89">
        <v>29.383870967741931</v>
      </c>
      <c r="F89">
        <v>19.8</v>
      </c>
      <c r="G89">
        <v>28.4</v>
      </c>
      <c r="H89">
        <f>D89-F89</f>
        <v>-1.0645161290322562</v>
      </c>
      <c r="I89">
        <f t="shared" si="1"/>
        <v>0.98387096774193239</v>
      </c>
    </row>
    <row r="90" spans="2:9" x14ac:dyDescent="0.25">
      <c r="B90" s="4">
        <v>2021</v>
      </c>
      <c r="C90" s="2" t="s">
        <v>20</v>
      </c>
      <c r="D90">
        <v>16.31666666666667</v>
      </c>
      <c r="E90">
        <v>28.303333333333331</v>
      </c>
      <c r="F90">
        <v>18.8</v>
      </c>
      <c r="G90">
        <v>27.6</v>
      </c>
      <c r="H90">
        <f>D90-F90</f>
        <v>-2.4833333333333307</v>
      </c>
      <c r="I90">
        <f t="shared" si="1"/>
        <v>0.70333333333332959</v>
      </c>
    </row>
    <row r="91" spans="2:9" x14ac:dyDescent="0.25">
      <c r="B91" s="4">
        <v>2021</v>
      </c>
      <c r="C91" s="2" t="s">
        <v>21</v>
      </c>
      <c r="D91">
        <v>15.30967741935484</v>
      </c>
      <c r="E91">
        <v>27.700000000000003</v>
      </c>
      <c r="F91">
        <v>16.600000000000001</v>
      </c>
      <c r="G91">
        <v>25.7</v>
      </c>
      <c r="H91">
        <f>D91-F91</f>
        <v>-1.2903225806451619</v>
      </c>
      <c r="I91">
        <f t="shared" si="1"/>
        <v>2.0000000000000036</v>
      </c>
    </row>
    <row r="92" spans="2:9" x14ac:dyDescent="0.25">
      <c r="B92" s="4">
        <v>2021</v>
      </c>
      <c r="C92" s="2" t="s">
        <v>22</v>
      </c>
      <c r="D92">
        <v>13.85</v>
      </c>
      <c r="E92">
        <v>26.279999999999994</v>
      </c>
      <c r="F92">
        <v>15.4</v>
      </c>
      <c r="G92">
        <v>24.9</v>
      </c>
      <c r="H92">
        <f>D92-F92</f>
        <v>-1.5500000000000007</v>
      </c>
      <c r="I92">
        <f t="shared" si="1"/>
        <v>1.3799999999999955</v>
      </c>
    </row>
    <row r="93" spans="2:9" x14ac:dyDescent="0.25">
      <c r="B93" s="4">
        <v>2021</v>
      </c>
      <c r="C93" s="2" t="s">
        <v>23</v>
      </c>
      <c r="D93">
        <v>11.851612903225805</v>
      </c>
      <c r="E93">
        <v>25.364516129032257</v>
      </c>
      <c r="F93">
        <v>15.2</v>
      </c>
      <c r="G93">
        <v>24.9</v>
      </c>
      <c r="H93">
        <f>D93-F93</f>
        <v>-3.3483870967741947</v>
      </c>
      <c r="I93">
        <f t="shared" si="1"/>
        <v>0.46451612903225836</v>
      </c>
    </row>
    <row r="94" spans="2:9" x14ac:dyDescent="0.25">
      <c r="B94" s="4">
        <v>2021</v>
      </c>
      <c r="C94" s="2" t="s">
        <v>24</v>
      </c>
      <c r="D94">
        <v>15.167741935483873</v>
      </c>
      <c r="E94">
        <v>26.748387096774188</v>
      </c>
      <c r="F94">
        <v>15.8</v>
      </c>
      <c r="G94">
        <v>26.3</v>
      </c>
      <c r="H94">
        <f>D94-F94</f>
        <v>-0.63225806451612776</v>
      </c>
      <c r="I94">
        <f t="shared" si="1"/>
        <v>0.4483870967741872</v>
      </c>
    </row>
    <row r="95" spans="2:9" x14ac:dyDescent="0.25">
      <c r="B95" s="4">
        <v>2021</v>
      </c>
      <c r="C95" s="2" t="s">
        <v>25</v>
      </c>
      <c r="D95">
        <v>18.683333333333334</v>
      </c>
      <c r="E95">
        <v>31.88666666666666</v>
      </c>
      <c r="F95">
        <v>17.399999999999999</v>
      </c>
      <c r="G95">
        <v>27.9</v>
      </c>
      <c r="H95">
        <f>D95-F95</f>
        <v>1.283333333333335</v>
      </c>
      <c r="I95">
        <f t="shared" si="1"/>
        <v>3.986666666666661</v>
      </c>
    </row>
    <row r="96" spans="2:9" x14ac:dyDescent="0.25">
      <c r="B96" s="4">
        <v>2021</v>
      </c>
      <c r="C96" s="2" t="s">
        <v>26</v>
      </c>
      <c r="D96">
        <v>18.690322580645162</v>
      </c>
      <c r="E96">
        <v>28.525806451612905</v>
      </c>
      <c r="F96">
        <v>18.8</v>
      </c>
      <c r="G96">
        <v>28.7</v>
      </c>
      <c r="H96">
        <f>D96-F96</f>
        <v>-0.10967741935483843</v>
      </c>
      <c r="I96">
        <f t="shared" si="1"/>
        <v>-0.17419354838709467</v>
      </c>
    </row>
    <row r="97" spans="2:9" x14ac:dyDescent="0.25">
      <c r="B97" s="4">
        <v>2021</v>
      </c>
      <c r="C97" s="2" t="s">
        <v>27</v>
      </c>
      <c r="D97">
        <v>18.146666666666665</v>
      </c>
      <c r="E97">
        <v>27.816666666666666</v>
      </c>
      <c r="F97">
        <v>18.899999999999999</v>
      </c>
      <c r="G97">
        <v>27.7</v>
      </c>
      <c r="H97">
        <f>D97-F97</f>
        <v>-0.75333333333333385</v>
      </c>
      <c r="I97">
        <f t="shared" si="1"/>
        <v>0.11666666666666714</v>
      </c>
    </row>
    <row r="98" spans="2:9" x14ac:dyDescent="0.25">
      <c r="B98" s="4">
        <v>2021</v>
      </c>
      <c r="C98" s="2" t="s">
        <v>28</v>
      </c>
      <c r="D98">
        <v>18.396774193548389</v>
      </c>
      <c r="E98">
        <v>27.64516129032258</v>
      </c>
      <c r="F98">
        <v>19.5</v>
      </c>
      <c r="G98">
        <v>28.2</v>
      </c>
      <c r="H98">
        <f>D98-F98</f>
        <v>-1.1032258064516114</v>
      </c>
      <c r="I98">
        <f t="shared" si="1"/>
        <v>-0.55483870967741922</v>
      </c>
    </row>
    <row r="99" spans="2:9" x14ac:dyDescent="0.25">
      <c r="B99" s="4">
        <v>2022</v>
      </c>
      <c r="C99" s="2" t="s">
        <v>17</v>
      </c>
      <c r="D99">
        <v>19.325806451612905</v>
      </c>
      <c r="E99">
        <v>28.541935483870972</v>
      </c>
      <c r="F99">
        <v>20</v>
      </c>
      <c r="G99">
        <v>28.7</v>
      </c>
      <c r="H99">
        <f>D99-F99</f>
        <v>-0.67419354838709467</v>
      </c>
      <c r="I99">
        <f t="shared" si="1"/>
        <v>-0.15806451612902706</v>
      </c>
    </row>
    <row r="100" spans="2:9" x14ac:dyDescent="0.25">
      <c r="B100" s="4">
        <v>2022</v>
      </c>
      <c r="C100" s="2" t="s">
        <v>18</v>
      </c>
      <c r="D100">
        <v>18.921428571428571</v>
      </c>
      <c r="E100">
        <v>28.160714285714288</v>
      </c>
      <c r="F100">
        <v>20.2</v>
      </c>
      <c r="G100">
        <v>29.1</v>
      </c>
      <c r="H100">
        <f>D100-F100</f>
        <v>-1.2785714285714285</v>
      </c>
      <c r="I100">
        <f t="shared" si="1"/>
        <v>-0.93928571428571317</v>
      </c>
    </row>
    <row r="101" spans="2:9" x14ac:dyDescent="0.25">
      <c r="B101" s="4">
        <v>2022</v>
      </c>
      <c r="C101" s="2" t="s">
        <v>19</v>
      </c>
      <c r="D101">
        <v>19.767741935483873</v>
      </c>
      <c r="E101">
        <v>30.680645161290322</v>
      </c>
      <c r="F101">
        <v>19.8</v>
      </c>
      <c r="G101">
        <v>28.4</v>
      </c>
      <c r="H101">
        <f>D101-F101</f>
        <v>-3.2258064516128115E-2</v>
      </c>
      <c r="I101">
        <f t="shared" si="1"/>
        <v>2.2806451612903231</v>
      </c>
    </row>
    <row r="102" spans="2:9" x14ac:dyDescent="0.25">
      <c r="B102" s="4">
        <v>2022</v>
      </c>
      <c r="C102" s="2" t="s">
        <v>20</v>
      </c>
      <c r="D102">
        <v>17.973333333333336</v>
      </c>
      <c r="E102">
        <v>29.516666666666669</v>
      </c>
      <c r="F102">
        <v>18.8</v>
      </c>
      <c r="G102">
        <v>27.6</v>
      </c>
      <c r="H102">
        <f>D102-F102</f>
        <v>-0.82666666666666444</v>
      </c>
      <c r="I102">
        <f t="shared" si="1"/>
        <v>1.9166666666666679</v>
      </c>
    </row>
    <row r="103" spans="2:9" x14ac:dyDescent="0.25">
      <c r="B103" s="4">
        <v>2022</v>
      </c>
      <c r="C103" s="2" t="s">
        <v>21</v>
      </c>
      <c r="D103">
        <v>14.225806451612904</v>
      </c>
      <c r="E103">
        <v>25.370967741935484</v>
      </c>
      <c r="F103">
        <v>16.600000000000001</v>
      </c>
      <c r="G103">
        <v>25.7</v>
      </c>
      <c r="H103">
        <f>D103-F103</f>
        <v>-2.3741935483870975</v>
      </c>
      <c r="I103">
        <f t="shared" si="1"/>
        <v>-0.3290322580645153</v>
      </c>
    </row>
    <row r="104" spans="2:9" x14ac:dyDescent="0.25">
      <c r="B104" s="4">
        <v>2022</v>
      </c>
      <c r="C104" s="2" t="s">
        <v>22</v>
      </c>
      <c r="D104">
        <v>13.233333333333333</v>
      </c>
      <c r="E104">
        <v>25.866666666666671</v>
      </c>
      <c r="F104">
        <v>15.4</v>
      </c>
      <c r="G104">
        <v>24.9</v>
      </c>
      <c r="H104">
        <f>D104-F104</f>
        <v>-2.1666666666666679</v>
      </c>
      <c r="I104">
        <f t="shared" si="1"/>
        <v>0.96666666666667211</v>
      </c>
    </row>
    <row r="105" spans="2:9" x14ac:dyDescent="0.25">
      <c r="B105" s="4">
        <v>2022</v>
      </c>
      <c r="C105" s="2" t="s">
        <v>23</v>
      </c>
      <c r="D105">
        <v>13.522580645161291</v>
      </c>
      <c r="E105">
        <v>25.938709677419357</v>
      </c>
      <c r="F105">
        <v>15.2</v>
      </c>
      <c r="G105">
        <v>24.9</v>
      </c>
      <c r="H105">
        <f>D105-F105</f>
        <v>-1.6774193548387082</v>
      </c>
      <c r="I105">
        <f t="shared" si="1"/>
        <v>1.0387096774193587</v>
      </c>
    </row>
    <row r="106" spans="2:9" x14ac:dyDescent="0.25">
      <c r="B106" s="4">
        <v>2022</v>
      </c>
      <c r="C106" s="2" t="s">
        <v>24</v>
      </c>
      <c r="D106">
        <v>14.529032258064516</v>
      </c>
      <c r="E106">
        <v>27.380645161290321</v>
      </c>
      <c r="F106">
        <v>15.8</v>
      </c>
      <c r="G106">
        <v>26.3</v>
      </c>
      <c r="H106">
        <f>D106-F106</f>
        <v>-1.2709677419354843</v>
      </c>
      <c r="I106">
        <f t="shared" si="1"/>
        <v>1.0806451612903203</v>
      </c>
    </row>
    <row r="107" spans="2:9" x14ac:dyDescent="0.25">
      <c r="B107" s="4">
        <v>2022</v>
      </c>
      <c r="C107" s="2" t="s">
        <v>25</v>
      </c>
      <c r="D107">
        <v>16.47</v>
      </c>
      <c r="E107">
        <v>28.600000000000005</v>
      </c>
      <c r="F107">
        <v>17.399999999999999</v>
      </c>
      <c r="G107">
        <v>27.9</v>
      </c>
      <c r="H107">
        <f>D107-F107</f>
        <v>-0.92999999999999972</v>
      </c>
      <c r="I107">
        <f t="shared" si="1"/>
        <v>0.70000000000000639</v>
      </c>
    </row>
    <row r="108" spans="2:9" x14ac:dyDescent="0.25">
      <c r="B108" s="4">
        <v>2022</v>
      </c>
      <c r="C108" s="2" t="s">
        <v>26</v>
      </c>
      <c r="D108">
        <v>18.596774193548388</v>
      </c>
      <c r="E108">
        <v>29.883870967741935</v>
      </c>
      <c r="F108">
        <v>18.8</v>
      </c>
      <c r="G108">
        <v>28.7</v>
      </c>
      <c r="H108">
        <f>D108-F108</f>
        <v>-0.20322580645161281</v>
      </c>
      <c r="I108">
        <f t="shared" si="1"/>
        <v>1.1838709677419352</v>
      </c>
    </row>
    <row r="109" spans="2:9" x14ac:dyDescent="0.25">
      <c r="B109" s="4">
        <v>2022</v>
      </c>
      <c r="C109" s="2" t="s">
        <v>27</v>
      </c>
      <c r="D109">
        <v>16.749999999999996</v>
      </c>
      <c r="E109">
        <v>27.79</v>
      </c>
      <c r="F109">
        <v>18.899999999999999</v>
      </c>
      <c r="G109">
        <v>27.7</v>
      </c>
      <c r="H109">
        <f>D109-F109</f>
        <v>-2.1500000000000021</v>
      </c>
      <c r="I109">
        <f t="shared" si="1"/>
        <v>8.9999999999999858E-2</v>
      </c>
    </row>
    <row r="110" spans="2:9" x14ac:dyDescent="0.25">
      <c r="B110" s="4">
        <v>2022</v>
      </c>
      <c r="C110" s="2" t="s">
        <v>28</v>
      </c>
      <c r="D110">
        <v>18.596774193548384</v>
      </c>
      <c r="E110">
        <v>27.445161290322577</v>
      </c>
      <c r="F110">
        <v>19.5</v>
      </c>
      <c r="G110">
        <v>28.2</v>
      </c>
      <c r="H110">
        <f>D110-F110</f>
        <v>-0.90322580645161565</v>
      </c>
      <c r="I110">
        <f t="shared" si="1"/>
        <v>-0.75483870967742206</v>
      </c>
    </row>
    <row r="111" spans="2:9" x14ac:dyDescent="0.25">
      <c r="B111" s="4">
        <v>2023</v>
      </c>
      <c r="C111" s="2" t="s">
        <v>17</v>
      </c>
      <c r="D111">
        <v>18.832258064516125</v>
      </c>
      <c r="E111">
        <v>28.338709677419352</v>
      </c>
      <c r="F111">
        <v>20</v>
      </c>
      <c r="G111">
        <v>28.7</v>
      </c>
      <c r="H111">
        <f>D111-F111</f>
        <v>-1.1677419354838747</v>
      </c>
      <c r="I111">
        <f t="shared" si="1"/>
        <v>-0.36129032258064697</v>
      </c>
    </row>
    <row r="112" spans="2:9" x14ac:dyDescent="0.25">
      <c r="B112" s="4">
        <v>2023</v>
      </c>
      <c r="C112" s="2" t="s">
        <v>18</v>
      </c>
      <c r="D112">
        <v>19.50714285714286</v>
      </c>
      <c r="E112">
        <v>30.625</v>
      </c>
      <c r="F112">
        <v>20.2</v>
      </c>
      <c r="G112">
        <v>29.1</v>
      </c>
      <c r="H112">
        <f>D112-F112</f>
        <v>-0.69285714285713951</v>
      </c>
      <c r="I112">
        <f t="shared" si="1"/>
        <v>1.5249999999999986</v>
      </c>
    </row>
    <row r="113" spans="2:9" x14ac:dyDescent="0.25">
      <c r="B113" s="4">
        <v>2023</v>
      </c>
      <c r="C113" s="2" t="s">
        <v>19</v>
      </c>
      <c r="D113">
        <v>19.506451612903227</v>
      </c>
      <c r="E113">
        <v>30.290322580645153</v>
      </c>
      <c r="F113">
        <v>19.8</v>
      </c>
      <c r="G113">
        <v>28.4</v>
      </c>
      <c r="H113">
        <f>D113-F113</f>
        <v>-0.29354838709677367</v>
      </c>
      <c r="I113">
        <f t="shared" si="1"/>
        <v>1.8903225806451545</v>
      </c>
    </row>
    <row r="114" spans="2:9" x14ac:dyDescent="0.25">
      <c r="B114" s="4">
        <v>2023</v>
      </c>
      <c r="C114" s="2" t="s">
        <v>20</v>
      </c>
      <c r="D114">
        <v>18.170000000000002</v>
      </c>
      <c r="E114">
        <v>28.253333333333334</v>
      </c>
      <c r="F114">
        <v>18.8</v>
      </c>
      <c r="G114">
        <v>27.6</v>
      </c>
      <c r="H114">
        <f>D114-F114</f>
        <v>-0.62999999999999901</v>
      </c>
      <c r="I114">
        <f t="shared" si="1"/>
        <v>0.65333333333333243</v>
      </c>
    </row>
    <row r="115" spans="2:9" x14ac:dyDescent="0.25">
      <c r="B115" s="4">
        <v>2023</v>
      </c>
      <c r="C115" s="2" t="s">
        <v>21</v>
      </c>
      <c r="D115">
        <v>14.929032258064519</v>
      </c>
      <c r="E115">
        <v>26.825806451612905</v>
      </c>
      <c r="F115">
        <v>16.600000000000001</v>
      </c>
      <c r="G115">
        <v>25.7</v>
      </c>
      <c r="H115">
        <f>D115-F115</f>
        <v>-1.6709677419354829</v>
      </c>
      <c r="I115">
        <f t="shared" si="1"/>
        <v>1.125806451612906</v>
      </c>
    </row>
    <row r="116" spans="2:9" x14ac:dyDescent="0.25">
      <c r="B116" s="4">
        <v>2023</v>
      </c>
      <c r="C116" s="2" t="s">
        <v>22</v>
      </c>
      <c r="D116">
        <v>13.099999999999998</v>
      </c>
      <c r="E116">
        <v>25.679999999999993</v>
      </c>
      <c r="F116">
        <v>15.4</v>
      </c>
      <c r="G116">
        <v>24.9</v>
      </c>
      <c r="H116">
        <f>D116-F116</f>
        <v>-2.3000000000000025</v>
      </c>
      <c r="I116">
        <f t="shared" si="1"/>
        <v>0.77999999999999403</v>
      </c>
    </row>
    <row r="117" spans="2:9" x14ac:dyDescent="0.25">
      <c r="B117" s="4">
        <v>2023</v>
      </c>
      <c r="C117" s="2" t="s">
        <v>23</v>
      </c>
      <c r="D117">
        <v>14.367741935483872</v>
      </c>
      <c r="E117">
        <v>26.629032258064516</v>
      </c>
      <c r="F117">
        <v>15.2</v>
      </c>
      <c r="G117">
        <v>24.9</v>
      </c>
      <c r="H117">
        <f>D117-F117</f>
        <v>-0.83225806451612705</v>
      </c>
      <c r="I117">
        <f t="shared" si="1"/>
        <v>1.7290322580645174</v>
      </c>
    </row>
    <row r="118" spans="2:9" x14ac:dyDescent="0.25">
      <c r="B118" s="4">
        <v>2023</v>
      </c>
      <c r="C118" s="2" t="s">
        <v>24</v>
      </c>
      <c r="D118">
        <v>15.79032258064516</v>
      </c>
      <c r="E118">
        <v>28.612903225806448</v>
      </c>
      <c r="F118">
        <v>15.8</v>
      </c>
      <c r="G118">
        <v>26.3</v>
      </c>
      <c r="H118">
        <f>D118-F118</f>
        <v>-9.6774193548405663E-3</v>
      </c>
      <c r="I118">
        <f t="shared" si="1"/>
        <v>2.3129032258064477</v>
      </c>
    </row>
    <row r="119" spans="2:9" x14ac:dyDescent="0.25">
      <c r="B119" s="4">
        <v>2023</v>
      </c>
      <c r="C119" s="2" t="s">
        <v>25</v>
      </c>
      <c r="D119">
        <v>18.926666666666666</v>
      </c>
      <c r="E119">
        <v>31.56333333333334</v>
      </c>
      <c r="F119">
        <v>17.399999999999999</v>
      </c>
      <c r="G119">
        <v>27.9</v>
      </c>
      <c r="H119">
        <f>D119-F119</f>
        <v>1.5266666666666673</v>
      </c>
      <c r="I119">
        <f t="shared" si="1"/>
        <v>3.6633333333333411</v>
      </c>
    </row>
    <row r="120" spans="2:9" x14ac:dyDescent="0.25">
      <c r="B120" s="4">
        <v>2023</v>
      </c>
      <c r="C120" s="2" t="s">
        <v>26</v>
      </c>
      <c r="D120">
        <v>20.42258064516129</v>
      </c>
      <c r="E120">
        <v>31.464516129032258</v>
      </c>
      <c r="F120">
        <v>18.8</v>
      </c>
      <c r="G120">
        <v>28.7</v>
      </c>
      <c r="H120">
        <f>D120-F120</f>
        <v>1.622580645161289</v>
      </c>
      <c r="I120">
        <f t="shared" si="1"/>
        <v>2.7645161290322591</v>
      </c>
    </row>
    <row r="121" spans="2:9" x14ac:dyDescent="0.25">
      <c r="B121" s="4">
        <v>2023</v>
      </c>
      <c r="C121" s="2" t="s">
        <v>27</v>
      </c>
      <c r="D121">
        <v>20.196666666666669</v>
      </c>
      <c r="E121">
        <v>32.483333333333327</v>
      </c>
      <c r="F121">
        <v>18.899999999999999</v>
      </c>
      <c r="G121">
        <v>27.7</v>
      </c>
      <c r="H121">
        <f>D121-F121</f>
        <v>1.2966666666666704</v>
      </c>
      <c r="I121">
        <f t="shared" si="1"/>
        <v>4.7833333333333279</v>
      </c>
    </row>
    <row r="122" spans="2:9" x14ac:dyDescent="0.25">
      <c r="B122" s="4">
        <v>2023</v>
      </c>
      <c r="C122" s="2" t="s">
        <v>28</v>
      </c>
      <c r="D122">
        <v>20.090322580645161</v>
      </c>
      <c r="E122">
        <v>31.22258064516129</v>
      </c>
      <c r="F122">
        <v>19.5</v>
      </c>
      <c r="G122">
        <v>28.2</v>
      </c>
      <c r="H122">
        <f>D122-F122</f>
        <v>0.59032258064516085</v>
      </c>
      <c r="I122">
        <f t="shared" si="1"/>
        <v>3.0225806451612911</v>
      </c>
    </row>
    <row r="123" spans="2:9" x14ac:dyDescent="0.25">
      <c r="B123" s="4">
        <v>2024</v>
      </c>
      <c r="C123" s="2" t="s">
        <v>17</v>
      </c>
      <c r="D123">
        <v>20.022580645161291</v>
      </c>
      <c r="E123">
        <v>30.170967741935488</v>
      </c>
      <c r="F123">
        <v>20</v>
      </c>
      <c r="G123">
        <v>28.7</v>
      </c>
      <c r="H123">
        <f t="shared" ref="H123:H134" si="2">D123-F123</f>
        <v>2.2580645161291102E-2</v>
      </c>
      <c r="I123">
        <f t="shared" si="1"/>
        <v>1.470967741935489</v>
      </c>
    </row>
    <row r="124" spans="2:9" x14ac:dyDescent="0.25">
      <c r="B124" s="4">
        <v>2024</v>
      </c>
      <c r="C124" s="2" t="s">
        <v>18</v>
      </c>
      <c r="D124">
        <v>19.686206896551724</v>
      </c>
      <c r="E124">
        <v>30.010344827586206</v>
      </c>
      <c r="F124">
        <v>20.2</v>
      </c>
      <c r="G124">
        <v>29.1</v>
      </c>
      <c r="H124">
        <f t="shared" si="2"/>
        <v>-0.51379310344827545</v>
      </c>
      <c r="I124">
        <f t="shared" si="1"/>
        <v>0.91034482758620427</v>
      </c>
    </row>
    <row r="125" spans="2:9" x14ac:dyDescent="0.25">
      <c r="B125" s="4">
        <v>2024</v>
      </c>
      <c r="C125" s="2" t="s">
        <v>19</v>
      </c>
      <c r="D125">
        <v>20.296774193548384</v>
      </c>
      <c r="E125">
        <v>30.745161290322585</v>
      </c>
      <c r="F125">
        <v>19.8</v>
      </c>
      <c r="G125">
        <v>28.4</v>
      </c>
      <c r="H125">
        <f t="shared" si="2"/>
        <v>0.49677419354838293</v>
      </c>
      <c r="I125">
        <f t="shared" si="1"/>
        <v>2.3451612903225865</v>
      </c>
    </row>
    <row r="126" spans="2:9" x14ac:dyDescent="0.25">
      <c r="B126" s="4">
        <v>2024</v>
      </c>
      <c r="C126" s="2" t="s">
        <v>20</v>
      </c>
      <c r="D126">
        <v>18.839999999999996</v>
      </c>
      <c r="E126">
        <v>29.399999999999995</v>
      </c>
      <c r="F126">
        <v>18.8</v>
      </c>
      <c r="G126">
        <v>27.6</v>
      </c>
      <c r="H126">
        <f t="shared" si="2"/>
        <v>3.9999999999995595E-2</v>
      </c>
      <c r="I126">
        <f t="shared" si="1"/>
        <v>1.7999999999999936</v>
      </c>
    </row>
    <row r="127" spans="2:9" x14ac:dyDescent="0.25">
      <c r="B127" s="4">
        <v>2024</v>
      </c>
      <c r="C127" s="2" t="s">
        <v>21</v>
      </c>
      <c r="D127">
        <v>17.090322580645161</v>
      </c>
      <c r="E127">
        <v>29.035483870967749</v>
      </c>
      <c r="F127">
        <v>16.600000000000001</v>
      </c>
      <c r="G127">
        <v>25.7</v>
      </c>
      <c r="H127">
        <f t="shared" si="2"/>
        <v>0.49032258064515943</v>
      </c>
      <c r="I127">
        <f t="shared" si="1"/>
        <v>3.3354838709677495</v>
      </c>
    </row>
    <row r="128" spans="2:9" x14ac:dyDescent="0.25">
      <c r="B128" s="4">
        <v>2024</v>
      </c>
      <c r="C128" s="2" t="s">
        <v>22</v>
      </c>
      <c r="D128">
        <v>14.466666666666667</v>
      </c>
      <c r="E128">
        <v>27.300000000000004</v>
      </c>
      <c r="F128">
        <v>15.4</v>
      </c>
      <c r="G128">
        <v>24.9</v>
      </c>
      <c r="H128">
        <f t="shared" si="2"/>
        <v>-0.93333333333333357</v>
      </c>
      <c r="I128">
        <f t="shared" si="1"/>
        <v>2.4000000000000057</v>
      </c>
    </row>
    <row r="129" spans="2:9" x14ac:dyDescent="0.25">
      <c r="B129" s="4">
        <v>2024</v>
      </c>
      <c r="C129" s="2" t="s">
        <v>23</v>
      </c>
      <c r="D129">
        <v>14.261290322580642</v>
      </c>
      <c r="E129">
        <v>27.348387096774182</v>
      </c>
      <c r="F129">
        <v>15.2</v>
      </c>
      <c r="G129">
        <v>24.9</v>
      </c>
      <c r="H129">
        <f t="shared" si="2"/>
        <v>-0.93870967741935729</v>
      </c>
      <c r="I129">
        <f t="shared" si="1"/>
        <v>2.4483870967741836</v>
      </c>
    </row>
    <row r="130" spans="2:9" x14ac:dyDescent="0.25">
      <c r="B130" s="4">
        <v>2024</v>
      </c>
      <c r="C130" s="2" t="s">
        <v>24</v>
      </c>
      <c r="D130">
        <v>15.629032258064518</v>
      </c>
      <c r="E130">
        <v>28.909677419354836</v>
      </c>
      <c r="F130">
        <v>15.8</v>
      </c>
      <c r="G130">
        <v>26.3</v>
      </c>
      <c r="H130">
        <f t="shared" si="2"/>
        <v>-0.17096774193548292</v>
      </c>
      <c r="I130">
        <f t="shared" si="1"/>
        <v>2.6096774193548349</v>
      </c>
    </row>
    <row r="131" spans="2:9" x14ac:dyDescent="0.25">
      <c r="B131" s="4">
        <v>2024</v>
      </c>
      <c r="C131" s="2" t="s">
        <v>25</v>
      </c>
      <c r="D131">
        <v>18.950000000000003</v>
      </c>
      <c r="E131">
        <v>32.46</v>
      </c>
      <c r="F131">
        <v>17.399999999999999</v>
      </c>
      <c r="G131">
        <v>27.9</v>
      </c>
      <c r="H131">
        <f t="shared" si="2"/>
        <v>1.5500000000000043</v>
      </c>
      <c r="I131">
        <f t="shared" si="1"/>
        <v>4.5600000000000023</v>
      </c>
    </row>
    <row r="132" spans="2:9" x14ac:dyDescent="0.25">
      <c r="B132" s="4">
        <v>2024</v>
      </c>
      <c r="C132" s="2" t="s">
        <v>26</v>
      </c>
      <c r="D132">
        <v>19.548387096774192</v>
      </c>
      <c r="E132">
        <v>30.448387096774198</v>
      </c>
      <c r="F132">
        <v>18.8</v>
      </c>
      <c r="G132">
        <v>28.7</v>
      </c>
      <c r="H132">
        <f t="shared" si="2"/>
        <v>0.74838709677419146</v>
      </c>
      <c r="I132">
        <f t="shared" ref="I132:I134" si="3">E132-G132</f>
        <v>1.7483870967741986</v>
      </c>
    </row>
    <row r="133" spans="2:9" x14ac:dyDescent="0.25">
      <c r="B133" s="4">
        <v>2024</v>
      </c>
      <c r="C133" s="2" t="s">
        <v>27</v>
      </c>
      <c r="D133">
        <v>18.923333333333336</v>
      </c>
      <c r="E133">
        <v>28.013333333333332</v>
      </c>
      <c r="F133">
        <v>18.899999999999999</v>
      </c>
      <c r="G133">
        <v>27.7</v>
      </c>
      <c r="H133">
        <f t="shared" si="2"/>
        <v>2.3333333333336981E-2</v>
      </c>
      <c r="I133">
        <f t="shared" si="3"/>
        <v>0.31333333333333258</v>
      </c>
    </row>
    <row r="134" spans="2:9" x14ac:dyDescent="0.25">
      <c r="B134" s="4">
        <v>2024</v>
      </c>
      <c r="C134" s="2" t="s">
        <v>28</v>
      </c>
      <c r="D134">
        <v>19.548387096774192</v>
      </c>
      <c r="E134">
        <v>28.674193548387091</v>
      </c>
      <c r="F134">
        <v>19.5</v>
      </c>
      <c r="G134">
        <v>28.2</v>
      </c>
      <c r="H134">
        <f t="shared" si="2"/>
        <v>4.8387096774192173E-2</v>
      </c>
      <c r="I134">
        <f t="shared" si="3"/>
        <v>0.47419354838709182</v>
      </c>
    </row>
  </sheetData>
  <pageMargins left="0.511811024" right="0.511811024" top="0.78740157499999996" bottom="0.78740157499999996" header="0.31496062000000002" footer="0.31496062000000002"/>
  <ignoredErrors>
    <ignoredError sqref="B39:B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Normal Climatologica</vt:lpstr>
      <vt:lpstr>Temp Min Anual</vt:lpstr>
      <vt:lpstr>TempMaxAnual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Taiza Pinho Barroso Lucas</dc:creator>
  <cp:lastModifiedBy>Taiza Pinho Barroso Lucas</cp:lastModifiedBy>
  <dcterms:created xsi:type="dcterms:W3CDTF">2025-12-17T18:11:47Z</dcterms:created>
  <dcterms:modified xsi:type="dcterms:W3CDTF">2025-12-17T20:24:07Z</dcterms:modified>
</cp:coreProperties>
</file>